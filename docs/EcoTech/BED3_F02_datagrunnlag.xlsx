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hhit-my.sharepoint.com/personal/andre_sjuve_nhh_no/Documents/Work/teaching/courses/BED3/Kursinnhold/Forelesninger/"/>
    </mc:Choice>
  </mc:AlternateContent>
  <xr:revisionPtr revIDLastSave="1059" documentId="8_{2B6CBA10-D407-4603-9A2C-51C672B2D190}" xr6:coauthVersionLast="47" xr6:coauthVersionMax="47" xr10:uidLastSave="{4CF27837-412B-4D3F-A2D4-F857D6F3C61C}"/>
  <bookViews>
    <workbookView xWindow="-110" yWindow="-110" windowWidth="38620" windowHeight="21820" xr2:uid="{69F6E92C-A1B7-4EDB-812B-D55FEC5EEC96}"/>
  </bookViews>
  <sheets>
    <sheet name="BED3-2025-02-CASH Analyse" sheetId="1" r:id="rId1"/>
    <sheet name="BED3-2025-02-CASH Inflasjon" sheetId="3" r:id="rId2"/>
    <sheet name="BED3-2025-02-CASH Risiko" sheetId="5" r:id="rId3"/>
    <sheet name="F04_Break_even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6" i="1" l="1"/>
  <c r="Q95" i="1"/>
  <c r="Q94" i="1"/>
  <c r="Q93" i="1"/>
  <c r="L62" i="1"/>
  <c r="E4" i="6"/>
  <c r="E5" i="6" s="1"/>
  <c r="G3" i="6"/>
  <c r="F3" i="6"/>
  <c r="H3" i="6" s="1"/>
  <c r="L27" i="5"/>
  <c r="M27" i="5"/>
  <c r="N27" i="5"/>
  <c r="O27" i="5"/>
  <c r="P27" i="5"/>
  <c r="I86" i="5"/>
  <c r="I87" i="5" s="1"/>
  <c r="I88" i="5" s="1"/>
  <c r="I89" i="5" s="1"/>
  <c r="I90" i="5" s="1"/>
  <c r="I91" i="5" s="1"/>
  <c r="I92" i="5" s="1"/>
  <c r="I93" i="5" s="1"/>
  <c r="I94" i="5" s="1"/>
  <c r="I95" i="5" s="1"/>
  <c r="I96" i="5" s="1"/>
  <c r="I97" i="5" s="1"/>
  <c r="I98" i="5" s="1"/>
  <c r="I99" i="5" s="1"/>
  <c r="I100" i="5" s="1"/>
  <c r="I84" i="5"/>
  <c r="I83" i="5" s="1"/>
  <c r="I82" i="5" s="1"/>
  <c r="I81" i="5" s="1"/>
  <c r="I80" i="5" s="1"/>
  <c r="I79" i="5" s="1"/>
  <c r="I78" i="5" s="1"/>
  <c r="I77" i="5" s="1"/>
  <c r="I76" i="5" s="1"/>
  <c r="I75" i="5" s="1"/>
  <c r="I74" i="5" s="1"/>
  <c r="I73" i="5" s="1"/>
  <c r="I72" i="5" s="1"/>
  <c r="I71" i="5" s="1"/>
  <c r="I70" i="5" s="1"/>
  <c r="L51" i="5"/>
  <c r="N51" i="5"/>
  <c r="L52" i="5"/>
  <c r="L53" i="5"/>
  <c r="N53" i="5"/>
  <c r="N55" i="5"/>
  <c r="L56" i="5"/>
  <c r="N56" i="5"/>
  <c r="N57" i="5"/>
  <c r="L58" i="5"/>
  <c r="N58" i="5"/>
  <c r="L59" i="5"/>
  <c r="L60" i="5"/>
  <c r="L61" i="5"/>
  <c r="N61" i="5"/>
  <c r="N63" i="5"/>
  <c r="L64" i="5"/>
  <c r="N64" i="5"/>
  <c r="N65" i="5"/>
  <c r="L66" i="5"/>
  <c r="N66" i="5"/>
  <c r="J64" i="5"/>
  <c r="J56" i="5"/>
  <c r="J54" i="5"/>
  <c r="J51" i="5"/>
  <c r="I50" i="5"/>
  <c r="J50" i="5" s="1"/>
  <c r="I52" i="5"/>
  <c r="I53" i="5" s="1"/>
  <c r="I54" i="5" s="1"/>
  <c r="I55" i="5" s="1"/>
  <c r="I56" i="5" s="1"/>
  <c r="I57" i="5" s="1"/>
  <c r="I58" i="5" s="1"/>
  <c r="I59" i="5" s="1"/>
  <c r="I60" i="5" s="1"/>
  <c r="I61" i="5" s="1"/>
  <c r="I62" i="5" s="1"/>
  <c r="I63" i="5" s="1"/>
  <c r="I64" i="5" s="1"/>
  <c r="I65" i="5" s="1"/>
  <c r="I66" i="5" s="1"/>
  <c r="J66" i="5" s="1"/>
  <c r="J29" i="5"/>
  <c r="O28" i="5"/>
  <c r="J28" i="5"/>
  <c r="J27" i="5"/>
  <c r="J26" i="5"/>
  <c r="O25" i="5"/>
  <c r="N25" i="5"/>
  <c r="M25" i="5"/>
  <c r="L25" i="5"/>
  <c r="J25" i="5"/>
  <c r="P24" i="5"/>
  <c r="O24" i="5"/>
  <c r="N24" i="5"/>
  <c r="M24" i="5"/>
  <c r="L24" i="5"/>
  <c r="I23" i="5"/>
  <c r="I24" i="5" s="1"/>
  <c r="I25" i="5" s="1"/>
  <c r="I26" i="5" s="1"/>
  <c r="I27" i="5" s="1"/>
  <c r="I28" i="5" s="1"/>
  <c r="I29" i="5" s="1"/>
  <c r="P23" i="5"/>
  <c r="O23" i="5"/>
  <c r="N23" i="5"/>
  <c r="M23" i="5"/>
  <c r="L23" i="5"/>
  <c r="O21" i="5"/>
  <c r="N21" i="5"/>
  <c r="M21" i="5"/>
  <c r="J21" i="5"/>
  <c r="I21" i="5"/>
  <c r="D62" i="5"/>
  <c r="E45" i="5"/>
  <c r="K17" i="5" s="1"/>
  <c r="E44" i="5"/>
  <c r="K15" i="5" s="1"/>
  <c r="E43" i="5"/>
  <c r="E42" i="5"/>
  <c r="D38" i="5"/>
  <c r="M14" i="5" s="1"/>
  <c r="D33" i="5"/>
  <c r="O12" i="5" s="1"/>
  <c r="E32" i="5"/>
  <c r="E31" i="5"/>
  <c r="E30" i="5"/>
  <c r="E29" i="5"/>
  <c r="D20" i="5"/>
  <c r="P8" i="5" s="1"/>
  <c r="P25" i="5" s="1"/>
  <c r="O18" i="5"/>
  <c r="D15" i="5"/>
  <c r="D71" i="5" s="1"/>
  <c r="D72" i="5" s="1"/>
  <c r="L11" i="5"/>
  <c r="M11" i="5" s="1"/>
  <c r="N10" i="5" a="1"/>
  <c r="N10" i="5" s="1"/>
  <c r="K7" i="5" a="1"/>
  <c r="P6" i="5" s="1"/>
  <c r="P29" i="3"/>
  <c r="K16" i="3"/>
  <c r="J28" i="3"/>
  <c r="N25" i="3"/>
  <c r="M25" i="3"/>
  <c r="L25" i="3"/>
  <c r="K25" i="3"/>
  <c r="J24" i="3"/>
  <c r="P21" i="3"/>
  <c r="J20" i="3"/>
  <c r="I20" i="3"/>
  <c r="P10" i="3"/>
  <c r="O10" i="3"/>
  <c r="N10" i="3"/>
  <c r="M10" i="3"/>
  <c r="L10" i="3"/>
  <c r="D21" i="3"/>
  <c r="P9" i="3" s="1"/>
  <c r="D63" i="3"/>
  <c r="P25" i="3" s="1"/>
  <c r="E46" i="3"/>
  <c r="E45" i="3"/>
  <c r="E44" i="3"/>
  <c r="E43" i="3"/>
  <c r="K14" i="3" s="1"/>
  <c r="D39" i="3"/>
  <c r="D34" i="3"/>
  <c r="P11" i="3" s="1"/>
  <c r="E33" i="3"/>
  <c r="E32" i="3"/>
  <c r="E31" i="3"/>
  <c r="E30" i="3"/>
  <c r="D16" i="3"/>
  <c r="K8" i="3" s="1"/>
  <c r="K7" i="3" a="1"/>
  <c r="L20" i="3" s="1"/>
  <c r="P81" i="1"/>
  <c r="O81" i="1"/>
  <c r="N81" i="1"/>
  <c r="M81" i="1"/>
  <c r="L81" i="1"/>
  <c r="K82" i="1"/>
  <c r="K81" i="1"/>
  <c r="P79" i="1"/>
  <c r="O79" i="1"/>
  <c r="N79" i="1"/>
  <c r="M79" i="1"/>
  <c r="L79" i="1"/>
  <c r="J79" i="1"/>
  <c r="I79" i="1"/>
  <c r="J78" i="1"/>
  <c r="I78" i="1"/>
  <c r="P77" i="1"/>
  <c r="O77" i="1"/>
  <c r="N77" i="1"/>
  <c r="M77" i="1"/>
  <c r="L77" i="1"/>
  <c r="K77" i="1"/>
  <c r="J77" i="1"/>
  <c r="I77" i="1"/>
  <c r="K74" i="1"/>
  <c r="J74" i="1"/>
  <c r="I74" i="1"/>
  <c r="K73" i="1"/>
  <c r="J73" i="1"/>
  <c r="I73" i="1"/>
  <c r="K72" i="1"/>
  <c r="I72" i="1"/>
  <c r="K71" i="1"/>
  <c r="I71" i="1"/>
  <c r="K70" i="1"/>
  <c r="J70" i="1"/>
  <c r="I70" i="1"/>
  <c r="K69" i="1"/>
  <c r="J69" i="1"/>
  <c r="I69" i="1"/>
  <c r="I68" i="1"/>
  <c r="K67" i="1"/>
  <c r="I67" i="1"/>
  <c r="J66" i="1"/>
  <c r="P65" i="1"/>
  <c r="O65" i="1"/>
  <c r="N65" i="1"/>
  <c r="M65" i="1"/>
  <c r="L65" i="1"/>
  <c r="K65" i="1"/>
  <c r="J65" i="1"/>
  <c r="I66" i="1"/>
  <c r="I65" i="1"/>
  <c r="P32" i="1"/>
  <c r="O32" i="1"/>
  <c r="N32" i="1"/>
  <c r="M32" i="1"/>
  <c r="L32" i="1"/>
  <c r="K36" i="1"/>
  <c r="J60" i="1"/>
  <c r="J52" i="1"/>
  <c r="J68" i="1" s="1"/>
  <c r="J72" i="1" s="1"/>
  <c r="J59" i="1"/>
  <c r="J51" i="1"/>
  <c r="J67" i="1" s="1"/>
  <c r="J71" i="1" s="1"/>
  <c r="I59" i="1"/>
  <c r="I60" i="1"/>
  <c r="I61" i="1" s="1"/>
  <c r="I62" i="1" s="1"/>
  <c r="I45" i="1"/>
  <c r="I46" i="1" s="1"/>
  <c r="I47" i="1" s="1"/>
  <c r="I48" i="1" s="1"/>
  <c r="I49" i="1" s="1"/>
  <c r="I50" i="1" s="1"/>
  <c r="I51" i="1" s="1"/>
  <c r="I52" i="1" s="1"/>
  <c r="I53" i="1" s="1"/>
  <c r="I44" i="1"/>
  <c r="I43" i="1"/>
  <c r="I42" i="1"/>
  <c r="N19" i="1"/>
  <c r="O19" i="1" s="1"/>
  <c r="P19" i="1" s="1"/>
  <c r="M19" i="1"/>
  <c r="D15" i="1"/>
  <c r="D69" i="1" s="1"/>
  <c r="D70" i="1" s="1"/>
  <c r="O92" i="1"/>
  <c r="N92" i="1"/>
  <c r="M92" i="1"/>
  <c r="L92" i="1"/>
  <c r="K92" i="1"/>
  <c r="J92" i="1"/>
  <c r="I96" i="1"/>
  <c r="I95" i="1"/>
  <c r="I94" i="1"/>
  <c r="I93" i="1"/>
  <c r="J61" i="1"/>
  <c r="J58" i="1"/>
  <c r="J40" i="1"/>
  <c r="J30" i="1"/>
  <c r="L48" i="1"/>
  <c r="K42" i="1"/>
  <c r="L45" i="1" s="1"/>
  <c r="M44" i="1" s="1"/>
  <c r="M52" i="1" s="1"/>
  <c r="M60" i="1" s="1"/>
  <c r="M61" i="1" s="1"/>
  <c r="M73" i="1" s="1"/>
  <c r="D62" i="1"/>
  <c r="P47" i="1" s="1"/>
  <c r="D38" i="1"/>
  <c r="O14" i="1" s="1"/>
  <c r="L23" i="1"/>
  <c r="L24" i="1" s="1"/>
  <c r="L19" i="1"/>
  <c r="L20" i="1" s="1"/>
  <c r="O18" i="1"/>
  <c r="K15" i="1"/>
  <c r="L15" i="1" s="1"/>
  <c r="L11" i="1"/>
  <c r="M11" i="1" s="1"/>
  <c r="N10" i="1" a="1"/>
  <c r="N10" i="1" s="1"/>
  <c r="E45" i="1"/>
  <c r="K17" i="1" s="1"/>
  <c r="E44" i="1"/>
  <c r="E43" i="1"/>
  <c r="E42" i="1"/>
  <c r="E32" i="1"/>
  <c r="E31" i="1"/>
  <c r="E30" i="1"/>
  <c r="E29" i="1"/>
  <c r="D33" i="1"/>
  <c r="E33" i="1" s="1"/>
  <c r="K7" i="1" a="1"/>
  <c r="K7" i="1" s="1"/>
  <c r="K6" i="1" s="1"/>
  <c r="D20" i="1"/>
  <c r="P9" i="1" s="1"/>
  <c r="R94" i="1" l="1"/>
  <c r="G5" i="6"/>
  <c r="F5" i="6"/>
  <c r="H5" i="6" s="1"/>
  <c r="E6" i="6"/>
  <c r="F4" i="6"/>
  <c r="G4" i="6"/>
  <c r="L22" i="5"/>
  <c r="L26" i="5" s="1"/>
  <c r="P45" i="5"/>
  <c r="P44" i="5"/>
  <c r="N14" i="5"/>
  <c r="P59" i="5"/>
  <c r="P51" i="5"/>
  <c r="P43" i="5"/>
  <c r="P64" i="5"/>
  <c r="P40" i="5"/>
  <c r="P63" i="5"/>
  <c r="P55" i="5"/>
  <c r="P47" i="5"/>
  <c r="P62" i="5"/>
  <c r="P54" i="5"/>
  <c r="P46" i="5"/>
  <c r="P53" i="5"/>
  <c r="P60" i="5"/>
  <c r="P52" i="5"/>
  <c r="O14" i="5"/>
  <c r="P66" i="5"/>
  <c r="P58" i="5"/>
  <c r="P50" i="5"/>
  <c r="P42" i="5"/>
  <c r="P56" i="5"/>
  <c r="P48" i="5"/>
  <c r="P39" i="5"/>
  <c r="P38" i="5"/>
  <c r="P61" i="5"/>
  <c r="P37" i="5"/>
  <c r="P36" i="5"/>
  <c r="P14" i="5"/>
  <c r="P65" i="5"/>
  <c r="P57" i="5"/>
  <c r="P49" i="5"/>
  <c r="P41" i="5"/>
  <c r="L50" i="5"/>
  <c r="J55" i="5"/>
  <c r="L63" i="5"/>
  <c r="N60" i="5"/>
  <c r="L55" i="5"/>
  <c r="N52" i="5"/>
  <c r="I49" i="5"/>
  <c r="J62" i="5"/>
  <c r="L65" i="5"/>
  <c r="N62" i="5"/>
  <c r="L57" i="5"/>
  <c r="N54" i="5"/>
  <c r="J63" i="5"/>
  <c r="L62" i="5"/>
  <c r="N59" i="5"/>
  <c r="L54" i="5"/>
  <c r="N50" i="5"/>
  <c r="J65" i="5"/>
  <c r="J58" i="5"/>
  <c r="J59" i="5"/>
  <c r="P21" i="5"/>
  <c r="J57" i="5"/>
  <c r="J52" i="5"/>
  <c r="J60" i="5"/>
  <c r="E46" i="5"/>
  <c r="L21" i="5"/>
  <c r="J53" i="5"/>
  <c r="J61" i="5"/>
  <c r="N11" i="5"/>
  <c r="N22" i="5" s="1"/>
  <c r="N26" i="5" s="1"/>
  <c r="M22" i="5"/>
  <c r="M26" i="5" s="1"/>
  <c r="P12" i="5"/>
  <c r="L12" i="5"/>
  <c r="L13" i="5" s="1"/>
  <c r="K18" i="5"/>
  <c r="L15" i="5"/>
  <c r="O6" i="5"/>
  <c r="M6" i="5"/>
  <c r="L6" i="5"/>
  <c r="N6" i="5"/>
  <c r="K7" i="5"/>
  <c r="K21" i="5" s="1"/>
  <c r="K8" i="5"/>
  <c r="K25" i="5" s="1"/>
  <c r="N12" i="5"/>
  <c r="L14" i="5"/>
  <c r="M12" i="5"/>
  <c r="M13" i="5" s="1"/>
  <c r="E33" i="5"/>
  <c r="D69" i="5"/>
  <c r="D70" i="5" s="1"/>
  <c r="M26" i="3"/>
  <c r="O26" i="3"/>
  <c r="M20" i="3"/>
  <c r="N20" i="3"/>
  <c r="O20" i="3"/>
  <c r="P20" i="3"/>
  <c r="K21" i="3"/>
  <c r="O25" i="3"/>
  <c r="P26" i="3" s="1"/>
  <c r="L26" i="3"/>
  <c r="M24" i="3"/>
  <c r="N26" i="3"/>
  <c r="O24" i="3"/>
  <c r="L14" i="3"/>
  <c r="M14" i="3" s="1"/>
  <c r="N14" i="3" s="1"/>
  <c r="O14" i="3" s="1"/>
  <c r="O15" i="3" s="1"/>
  <c r="O16" i="3" s="1"/>
  <c r="O23" i="3" s="1"/>
  <c r="L13" i="3"/>
  <c r="E47" i="3"/>
  <c r="E34" i="3"/>
  <c r="M11" i="3"/>
  <c r="N6" i="3"/>
  <c r="O13" i="3" s="1"/>
  <c r="N11" i="3"/>
  <c r="L6" i="3"/>
  <c r="M13" i="3" s="1"/>
  <c r="L11" i="3"/>
  <c r="L12" i="3" s="1"/>
  <c r="L22" i="3" s="1"/>
  <c r="M6" i="3"/>
  <c r="N13" i="3" s="1"/>
  <c r="O6" i="3"/>
  <c r="P13" i="3" s="1"/>
  <c r="O11" i="3"/>
  <c r="D70" i="3"/>
  <c r="D71" i="3" s="1"/>
  <c r="D72" i="3"/>
  <c r="D73" i="3" s="1"/>
  <c r="P6" i="3"/>
  <c r="K7" i="3"/>
  <c r="K20" i="3" s="1"/>
  <c r="M68" i="1"/>
  <c r="M72" i="1" s="1"/>
  <c r="K8" i="1"/>
  <c r="M45" i="1"/>
  <c r="M51" i="1" s="1"/>
  <c r="N14" i="1"/>
  <c r="L14" i="1"/>
  <c r="P14" i="1"/>
  <c r="P30" i="1"/>
  <c r="O45" i="1"/>
  <c r="O51" i="1" s="1"/>
  <c r="L47" i="1"/>
  <c r="L49" i="1" s="1"/>
  <c r="M48" i="1" s="1"/>
  <c r="M49" i="1" s="1"/>
  <c r="N48" i="1" s="1"/>
  <c r="N45" i="1"/>
  <c r="N51" i="1" s="1"/>
  <c r="D71" i="1"/>
  <c r="D72" i="1" s="1"/>
  <c r="M47" i="1"/>
  <c r="K30" i="1"/>
  <c r="M14" i="1"/>
  <c r="N47" i="1"/>
  <c r="L30" i="1"/>
  <c r="O47" i="1"/>
  <c r="M30" i="1"/>
  <c r="N30" i="1"/>
  <c r="O30" i="1"/>
  <c r="P45" i="1"/>
  <c r="P51" i="1" s="1"/>
  <c r="K51" i="1"/>
  <c r="K59" i="1" s="1"/>
  <c r="L44" i="1"/>
  <c r="L52" i="1" s="1"/>
  <c r="L51" i="1"/>
  <c r="M23" i="1"/>
  <c r="K25" i="1"/>
  <c r="N11" i="1"/>
  <c r="O11" i="1" s="1"/>
  <c r="P11" i="1" s="1"/>
  <c r="K21" i="1"/>
  <c r="K22" i="1" s="1"/>
  <c r="K18" i="1"/>
  <c r="E46" i="1"/>
  <c r="M12" i="1"/>
  <c r="M13" i="1" s="1"/>
  <c r="N12" i="1"/>
  <c r="L12" i="1"/>
  <c r="L13" i="1" s="1"/>
  <c r="O12" i="1"/>
  <c r="P12" i="1"/>
  <c r="L6" i="1"/>
  <c r="L33" i="1" s="1"/>
  <c r="M6" i="1"/>
  <c r="M33" i="1" s="1"/>
  <c r="N6" i="1"/>
  <c r="N33" i="1" s="1"/>
  <c r="O6" i="1"/>
  <c r="O33" i="1" s="1"/>
  <c r="P6" i="1"/>
  <c r="P33" i="1" s="1"/>
  <c r="H4" i="6" l="1"/>
  <c r="E7" i="6"/>
  <c r="G6" i="6"/>
  <c r="F6" i="6"/>
  <c r="H6" i="6" s="1"/>
  <c r="I48" i="5"/>
  <c r="N49" i="5"/>
  <c r="L49" i="5"/>
  <c r="J49" i="5"/>
  <c r="O11" i="5"/>
  <c r="O22" i="5" s="1"/>
  <c r="O26" i="5" s="1"/>
  <c r="O29" i="5" s="1"/>
  <c r="N13" i="5"/>
  <c r="K19" i="5"/>
  <c r="K28" i="5"/>
  <c r="K29" i="5" s="1"/>
  <c r="K6" i="5"/>
  <c r="M15" i="5"/>
  <c r="M16" i="5" s="1"/>
  <c r="M18" i="5" s="1"/>
  <c r="M28" i="5" s="1"/>
  <c r="M29" i="5" s="1"/>
  <c r="L16" i="5"/>
  <c r="L18" i="5" s="1"/>
  <c r="L28" i="5" s="1"/>
  <c r="L29" i="5" s="1"/>
  <c r="N24" i="3"/>
  <c r="P24" i="3"/>
  <c r="L15" i="3"/>
  <c r="L16" i="3" s="1"/>
  <c r="M12" i="3"/>
  <c r="M22" i="3" s="1"/>
  <c r="M27" i="3" s="1"/>
  <c r="M28" i="3" s="1"/>
  <c r="N12" i="3"/>
  <c r="N22" i="3" s="1"/>
  <c r="N27" i="3" s="1"/>
  <c r="N28" i="3" s="1"/>
  <c r="K6" i="3"/>
  <c r="L24" i="3" s="1"/>
  <c r="L27" i="3" s="1"/>
  <c r="L28" i="3" s="1"/>
  <c r="N59" i="1"/>
  <c r="N67" i="1"/>
  <c r="N71" i="1" s="1"/>
  <c r="L59" i="1"/>
  <c r="L67" i="1"/>
  <c r="L71" i="1" s="1"/>
  <c r="O59" i="1"/>
  <c r="O67" i="1"/>
  <c r="O71" i="1" s="1"/>
  <c r="L60" i="1"/>
  <c r="L61" i="1" s="1"/>
  <c r="L73" i="1" s="1"/>
  <c r="L68" i="1"/>
  <c r="L72" i="1" s="1"/>
  <c r="P59" i="1"/>
  <c r="P67" i="1"/>
  <c r="P71" i="1" s="1"/>
  <c r="M59" i="1"/>
  <c r="M67" i="1"/>
  <c r="M71" i="1" s="1"/>
  <c r="N49" i="1"/>
  <c r="O48" i="1" s="1"/>
  <c r="O49" i="1" s="1"/>
  <c r="P48" i="1" s="1"/>
  <c r="P49" i="1" s="1"/>
  <c r="N44" i="1"/>
  <c r="N52" i="1" s="1"/>
  <c r="P44" i="1"/>
  <c r="P52" i="1" s="1"/>
  <c r="O44" i="1"/>
  <c r="O52" i="1" s="1"/>
  <c r="L34" i="1"/>
  <c r="L35" i="1" s="1"/>
  <c r="P13" i="1"/>
  <c r="N13" i="1"/>
  <c r="K26" i="1"/>
  <c r="K27" i="1" s="1"/>
  <c r="J93" i="1" s="1"/>
  <c r="N23" i="1"/>
  <c r="M25" i="1" s="1"/>
  <c r="M24" i="1"/>
  <c r="L25" i="1"/>
  <c r="L26" i="1" s="1"/>
  <c r="L21" i="1"/>
  <c r="M21" i="1"/>
  <c r="M20" i="1"/>
  <c r="M34" i="1" s="1"/>
  <c r="M35" i="1" s="1"/>
  <c r="N20" i="1"/>
  <c r="O13" i="1"/>
  <c r="M36" i="1" l="1"/>
  <c r="M70" i="1" s="1"/>
  <c r="M78" i="1"/>
  <c r="M80" i="1" s="1"/>
  <c r="L36" i="1"/>
  <c r="L78" i="1"/>
  <c r="L80" i="1" s="1"/>
  <c r="G7" i="6"/>
  <c r="F7" i="6"/>
  <c r="E8" i="6"/>
  <c r="O13" i="5"/>
  <c r="O19" i="5" s="1"/>
  <c r="P11" i="5"/>
  <c r="P13" i="5" s="1"/>
  <c r="L19" i="5"/>
  <c r="I47" i="5"/>
  <c r="L48" i="5"/>
  <c r="N48" i="5"/>
  <c r="J48" i="5"/>
  <c r="M19" i="5"/>
  <c r="N15" i="5"/>
  <c r="O15" i="5" s="1"/>
  <c r="L17" i="3"/>
  <c r="L23" i="3"/>
  <c r="L29" i="3" s="1"/>
  <c r="L30" i="3" s="1"/>
  <c r="M15" i="3"/>
  <c r="M16" i="3" s="1"/>
  <c r="O12" i="3"/>
  <c r="O60" i="1"/>
  <c r="O61" i="1" s="1"/>
  <c r="O73" i="1" s="1"/>
  <c r="O68" i="1"/>
  <c r="O72" i="1" s="1"/>
  <c r="P60" i="1"/>
  <c r="P61" i="1" s="1"/>
  <c r="P73" i="1" s="1"/>
  <c r="P68" i="1"/>
  <c r="P72" i="1" s="1"/>
  <c r="N60" i="1"/>
  <c r="N61" i="1" s="1"/>
  <c r="N73" i="1" s="1"/>
  <c r="N68" i="1"/>
  <c r="N72" i="1" s="1"/>
  <c r="N34" i="1"/>
  <c r="N35" i="1" s="1"/>
  <c r="K31" i="1"/>
  <c r="K40" i="1" s="1"/>
  <c r="J94" i="1"/>
  <c r="K53" i="1"/>
  <c r="J95" i="1" s="1"/>
  <c r="M26" i="1"/>
  <c r="M22" i="1"/>
  <c r="N24" i="1"/>
  <c r="O23" i="1"/>
  <c r="N25" i="1" s="1"/>
  <c r="L22" i="1"/>
  <c r="N21" i="1"/>
  <c r="P20" i="1"/>
  <c r="P34" i="1" s="1"/>
  <c r="P35" i="1" s="1"/>
  <c r="O20" i="1"/>
  <c r="O34" i="1" s="1"/>
  <c r="O35" i="1" s="1"/>
  <c r="L16" i="1"/>
  <c r="L18" i="1" s="1"/>
  <c r="M15" i="1"/>
  <c r="N15" i="1" s="1"/>
  <c r="O15" i="1" s="1"/>
  <c r="N36" i="1" l="1"/>
  <c r="N70" i="1" s="1"/>
  <c r="N78" i="1"/>
  <c r="N80" i="1" s="1"/>
  <c r="O36" i="1"/>
  <c r="O70" i="1" s="1"/>
  <c r="O78" i="1"/>
  <c r="O80" i="1" s="1"/>
  <c r="P36" i="1"/>
  <c r="P70" i="1" s="1"/>
  <c r="P78" i="1"/>
  <c r="P80" i="1" s="1"/>
  <c r="R36" i="1"/>
  <c r="L70" i="1"/>
  <c r="E9" i="6"/>
  <c r="G8" i="6"/>
  <c r="F8" i="6"/>
  <c r="H8" i="6" s="1"/>
  <c r="H7" i="6"/>
  <c r="P22" i="5"/>
  <c r="P26" i="5" s="1"/>
  <c r="I46" i="5"/>
  <c r="J47" i="5"/>
  <c r="L47" i="5"/>
  <c r="N47" i="5"/>
  <c r="N16" i="5"/>
  <c r="N18" i="5" s="1"/>
  <c r="O17" i="3"/>
  <c r="O22" i="3"/>
  <c r="M17" i="3"/>
  <c r="M23" i="3"/>
  <c r="M29" i="3" s="1"/>
  <c r="M30" i="3" s="1"/>
  <c r="N15" i="3"/>
  <c r="N16" i="3" s="1"/>
  <c r="P12" i="3"/>
  <c r="P22" i="3" s="1"/>
  <c r="P27" i="3" s="1"/>
  <c r="P28" i="3" s="1"/>
  <c r="K62" i="1"/>
  <c r="J96" i="1" s="1"/>
  <c r="K58" i="1"/>
  <c r="L27" i="1"/>
  <c r="K93" i="1" s="1"/>
  <c r="P23" i="1"/>
  <c r="P24" i="1" s="1"/>
  <c r="O24" i="1"/>
  <c r="N26" i="1"/>
  <c r="N22" i="1"/>
  <c r="O21" i="1"/>
  <c r="P21" i="1" s="1"/>
  <c r="P22" i="1" s="1"/>
  <c r="N16" i="1"/>
  <c r="N18" i="1" s="1"/>
  <c r="M16" i="1"/>
  <c r="M18" i="1" s="1"/>
  <c r="M27" i="1" s="1"/>
  <c r="L93" i="1" s="1"/>
  <c r="G9" i="6" l="1"/>
  <c r="F9" i="6"/>
  <c r="E10" i="6"/>
  <c r="I45" i="5"/>
  <c r="L46" i="5"/>
  <c r="N46" i="5"/>
  <c r="J46" i="5"/>
  <c r="N28" i="5"/>
  <c r="N29" i="5" s="1"/>
  <c r="N19" i="5"/>
  <c r="P18" i="5"/>
  <c r="O27" i="3"/>
  <c r="O28" i="3" s="1"/>
  <c r="O29" i="3" s="1"/>
  <c r="O30" i="3" s="1"/>
  <c r="N17" i="3"/>
  <c r="N23" i="3"/>
  <c r="N29" i="3" s="1"/>
  <c r="N30" i="3" s="1"/>
  <c r="L31" i="1"/>
  <c r="L40" i="1" s="1"/>
  <c r="L53" i="1"/>
  <c r="K94" i="1"/>
  <c r="M31" i="1"/>
  <c r="M40" i="1" s="1"/>
  <c r="M53" i="1"/>
  <c r="L94" i="1"/>
  <c r="N27" i="1"/>
  <c r="M93" i="1" s="1"/>
  <c r="O25" i="1"/>
  <c r="P25" i="1" s="1"/>
  <c r="P26" i="1" s="1"/>
  <c r="O22" i="1"/>
  <c r="P18" i="1"/>
  <c r="E11" i="6" l="1"/>
  <c r="G10" i="6"/>
  <c r="F10" i="6"/>
  <c r="H10" i="6" s="1"/>
  <c r="H9" i="6"/>
  <c r="I44" i="5"/>
  <c r="L45" i="5"/>
  <c r="N45" i="5"/>
  <c r="J45" i="5"/>
  <c r="P28" i="5"/>
  <c r="P29" i="5" s="1"/>
  <c r="J32" i="5" s="1"/>
  <c r="P19" i="5"/>
  <c r="K95" i="1"/>
  <c r="L69" i="1"/>
  <c r="L95" i="1"/>
  <c r="M69" i="1"/>
  <c r="L58" i="1"/>
  <c r="N31" i="1"/>
  <c r="N40" i="1" s="1"/>
  <c r="N53" i="1"/>
  <c r="M94" i="1"/>
  <c r="M62" i="1"/>
  <c r="M58" i="1"/>
  <c r="O26" i="1"/>
  <c r="O27" i="1" s="1"/>
  <c r="N93" i="1" s="1"/>
  <c r="P27" i="1"/>
  <c r="O93" i="1" s="1"/>
  <c r="E12" i="6" l="1"/>
  <c r="G11" i="6"/>
  <c r="F11" i="6"/>
  <c r="H11" i="6" s="1"/>
  <c r="I43" i="5"/>
  <c r="L44" i="5"/>
  <c r="N44" i="5"/>
  <c r="J44" i="5"/>
  <c r="O35" i="5"/>
  <c r="Q35" i="5"/>
  <c r="K35" i="5"/>
  <c r="M35" i="5"/>
  <c r="J33" i="5"/>
  <c r="L96" i="1"/>
  <c r="M74" i="1"/>
  <c r="M82" i="1" s="1"/>
  <c r="M95" i="1"/>
  <c r="N69" i="1"/>
  <c r="K96" i="1"/>
  <c r="L74" i="1"/>
  <c r="L82" i="1" s="1"/>
  <c r="P93" i="1"/>
  <c r="P31" i="1"/>
  <c r="P40" i="1" s="1"/>
  <c r="P53" i="1"/>
  <c r="O94" i="1"/>
  <c r="N58" i="1"/>
  <c r="N62" i="1"/>
  <c r="O31" i="1"/>
  <c r="O40" i="1" s="1"/>
  <c r="O53" i="1"/>
  <c r="N94" i="1"/>
  <c r="E13" i="6" l="1"/>
  <c r="G12" i="6"/>
  <c r="F12" i="6"/>
  <c r="H12" i="6" s="1"/>
  <c r="I42" i="5"/>
  <c r="N43" i="5"/>
  <c r="L43" i="5"/>
  <c r="J43" i="5"/>
  <c r="N95" i="1"/>
  <c r="O69" i="1"/>
  <c r="M96" i="1"/>
  <c r="N74" i="1"/>
  <c r="N82" i="1" s="1"/>
  <c r="O95" i="1"/>
  <c r="P95" i="1" s="1"/>
  <c r="P69" i="1"/>
  <c r="P94" i="1"/>
  <c r="O62" i="1"/>
  <c r="O58" i="1"/>
  <c r="P58" i="1"/>
  <c r="P62" i="1"/>
  <c r="G13" i="6" l="1"/>
  <c r="F13" i="6"/>
  <c r="E14" i="6"/>
  <c r="I41" i="5"/>
  <c r="N42" i="5"/>
  <c r="L42" i="5"/>
  <c r="J42" i="5"/>
  <c r="N96" i="1"/>
  <c r="O74" i="1"/>
  <c r="O82" i="1" s="1"/>
  <c r="O96" i="1"/>
  <c r="P96" i="1" s="1"/>
  <c r="P74" i="1"/>
  <c r="P82" i="1" s="1"/>
  <c r="P16" i="3"/>
  <c r="K17" i="3"/>
  <c r="E15" i="6" l="1"/>
  <c r="G14" i="6"/>
  <c r="F14" i="6"/>
  <c r="H14" i="6" s="1"/>
  <c r="H13" i="6"/>
  <c r="I40" i="5"/>
  <c r="N41" i="5"/>
  <c r="J41" i="5"/>
  <c r="L41" i="5"/>
  <c r="P17" i="3"/>
  <c r="P23" i="3"/>
  <c r="P30" i="3" s="1"/>
  <c r="K23" i="3"/>
  <c r="K29" i="3" s="1"/>
  <c r="K30" i="3" s="1"/>
  <c r="G15" i="6" l="1"/>
  <c r="E16" i="6"/>
  <c r="F15" i="6"/>
  <c r="I39" i="5"/>
  <c r="J40" i="5"/>
  <c r="L40" i="5"/>
  <c r="N40" i="5"/>
  <c r="H15" i="6" l="1"/>
  <c r="E17" i="6"/>
  <c r="G16" i="6"/>
  <c r="F16" i="6"/>
  <c r="H16" i="6" s="1"/>
  <c r="I38" i="5"/>
  <c r="J39" i="5"/>
  <c r="L39" i="5"/>
  <c r="N39" i="5"/>
  <c r="G17" i="6" l="1"/>
  <c r="F17" i="6"/>
  <c r="E18" i="6"/>
  <c r="I37" i="5"/>
  <c r="L38" i="5"/>
  <c r="J38" i="5"/>
  <c r="N38" i="5"/>
  <c r="E19" i="6" l="1"/>
  <c r="G18" i="6"/>
  <c r="F18" i="6"/>
  <c r="H18" i="6" s="1"/>
  <c r="H17" i="6"/>
  <c r="I36" i="5"/>
  <c r="L37" i="5"/>
  <c r="N37" i="5"/>
  <c r="J37" i="5"/>
  <c r="G19" i="6" l="1"/>
  <c r="F19" i="6"/>
  <c r="E20" i="6"/>
  <c r="N36" i="5"/>
  <c r="L36" i="5"/>
  <c r="J36" i="5"/>
  <c r="E21" i="6" l="1"/>
  <c r="G20" i="6"/>
  <c r="F20" i="6"/>
  <c r="H20" i="6" s="1"/>
  <c r="H19" i="6"/>
  <c r="G21" i="6" l="1"/>
  <c r="F21" i="6"/>
  <c r="H21" i="6" s="1"/>
  <c r="E22" i="6"/>
  <c r="E23" i="6" l="1"/>
  <c r="G22" i="6"/>
  <c r="F22" i="6"/>
  <c r="H22" i="6" s="1"/>
  <c r="G23" i="6" l="1"/>
  <c r="F23" i="6"/>
  <c r="H23" i="6" s="1"/>
  <c r="E24" i="6"/>
  <c r="E25" i="6" l="1"/>
  <c r="G24" i="6"/>
  <c r="F24" i="6"/>
  <c r="H24" i="6" s="1"/>
  <c r="G25" i="6" l="1"/>
  <c r="F25" i="6"/>
  <c r="H25" i="6" s="1"/>
  <c r="E26" i="6"/>
  <c r="E27" i="6" l="1"/>
  <c r="G26" i="6"/>
  <c r="F26" i="6"/>
  <c r="H26" i="6" s="1"/>
  <c r="E28" i="6" l="1"/>
  <c r="G27" i="6"/>
  <c r="F27" i="6"/>
  <c r="H27" i="6" s="1"/>
  <c r="E29" i="6" l="1"/>
  <c r="G28" i="6"/>
  <c r="F28" i="6"/>
  <c r="H28" i="6" s="1"/>
  <c r="G29" i="6" l="1"/>
  <c r="F29" i="6"/>
  <c r="H29" i="6" s="1"/>
  <c r="E30" i="6"/>
  <c r="E31" i="6" l="1"/>
  <c r="G30" i="6"/>
  <c r="F30" i="6"/>
  <c r="H30" i="6" s="1"/>
  <c r="G31" i="6" l="1"/>
  <c r="F31" i="6"/>
  <c r="H31" i="6" s="1"/>
  <c r="E32" i="6"/>
  <c r="E33" i="6" l="1"/>
  <c r="G32" i="6"/>
  <c r="F32" i="6"/>
  <c r="H32" i="6" s="1"/>
  <c r="G33" i="6" l="1"/>
  <c r="F33" i="6"/>
  <c r="H33" i="6" s="1"/>
  <c r="E34" i="6"/>
  <c r="E35" i="6" l="1"/>
  <c r="G34" i="6"/>
  <c r="F34" i="6"/>
  <c r="H34" i="6" s="1"/>
  <c r="G35" i="6" l="1"/>
  <c r="F35" i="6"/>
  <c r="H35" i="6" s="1"/>
  <c r="E36" i="6"/>
  <c r="E37" i="6" l="1"/>
  <c r="G36" i="6"/>
  <c r="F36" i="6"/>
  <c r="H36" i="6" s="1"/>
  <c r="G37" i="6" l="1"/>
  <c r="F37" i="6"/>
  <c r="H37" i="6" s="1"/>
  <c r="E38" i="6"/>
  <c r="E39" i="6" l="1"/>
  <c r="G38" i="6"/>
  <c r="F38" i="6"/>
  <c r="H38" i="6" s="1"/>
  <c r="G39" i="6" l="1"/>
  <c r="F39" i="6"/>
  <c r="H39" i="6" s="1"/>
  <c r="E40" i="6"/>
  <c r="E41" i="6" l="1"/>
  <c r="G40" i="6"/>
  <c r="F40" i="6"/>
  <c r="H40" i="6" s="1"/>
  <c r="G41" i="6" l="1"/>
  <c r="E42" i="6"/>
  <c r="F41" i="6"/>
  <c r="H41" i="6" s="1"/>
  <c r="E43" i="6" l="1"/>
  <c r="G42" i="6"/>
  <c r="F42" i="6"/>
  <c r="H42" i="6" s="1"/>
  <c r="G43" i="6" l="1"/>
  <c r="F43" i="6"/>
  <c r="H43" i="6" s="1"/>
  <c r="E44" i="6"/>
  <c r="E45" i="6" l="1"/>
  <c r="G44" i="6"/>
  <c r="F44" i="6"/>
  <c r="H44" i="6" s="1"/>
  <c r="G45" i="6" l="1"/>
  <c r="F45" i="6"/>
  <c r="H45" i="6" s="1"/>
  <c r="E46" i="6"/>
  <c r="E47" i="6" l="1"/>
  <c r="G46" i="6"/>
  <c r="F46" i="6"/>
  <c r="H46" i="6" l="1"/>
  <c r="G47" i="6"/>
  <c r="F47" i="6"/>
  <c r="H47" i="6" s="1"/>
  <c r="E48" i="6"/>
  <c r="E49" i="6" l="1"/>
  <c r="G48" i="6"/>
  <c r="F48" i="6"/>
  <c r="H48" i="6" s="1"/>
  <c r="G49" i="6" l="1"/>
  <c r="F49" i="6"/>
  <c r="H49" i="6" s="1"/>
  <c r="E50" i="6"/>
  <c r="E51" i="6" l="1"/>
  <c r="G50" i="6"/>
  <c r="F50" i="6"/>
  <c r="H50" i="6" s="1"/>
  <c r="G51" i="6" l="1"/>
  <c r="F51" i="6"/>
  <c r="H51" i="6" s="1"/>
  <c r="E52" i="6"/>
  <c r="E53" i="6" l="1"/>
  <c r="G52" i="6"/>
  <c r="F52" i="6"/>
  <c r="H52" i="6" s="1"/>
  <c r="G53" i="6" l="1"/>
  <c r="F53" i="6"/>
  <c r="H53" i="6" s="1"/>
  <c r="E54" i="6"/>
  <c r="E55" i="6" l="1"/>
  <c r="G54" i="6"/>
  <c r="F54" i="6"/>
  <c r="H54" i="6" l="1"/>
  <c r="G55" i="6"/>
  <c r="F55" i="6"/>
  <c r="H55" i="6" s="1"/>
  <c r="E56" i="6"/>
  <c r="E57" i="6" l="1"/>
  <c r="G56" i="6"/>
  <c r="F56" i="6"/>
  <c r="H56" i="6" s="1"/>
  <c r="G57" i="6" l="1"/>
  <c r="F57" i="6"/>
  <c r="H57" i="6" s="1"/>
  <c r="E58" i="6"/>
  <c r="E59" i="6" l="1"/>
  <c r="G58" i="6"/>
  <c r="F58" i="6"/>
  <c r="G59" i="6" l="1"/>
  <c r="F59" i="6"/>
  <c r="E60" i="6"/>
  <c r="H58" i="6"/>
  <c r="E61" i="6" l="1"/>
  <c r="G60" i="6"/>
  <c r="F60" i="6"/>
  <c r="H60" i="6" s="1"/>
  <c r="H59" i="6"/>
  <c r="G61" i="6" l="1"/>
  <c r="F61" i="6"/>
  <c r="E62" i="6"/>
  <c r="E63" i="6" l="1"/>
  <c r="G62" i="6"/>
  <c r="F62" i="6"/>
  <c r="H62" i="6" s="1"/>
  <c r="H61" i="6"/>
  <c r="G63" i="6" l="1"/>
  <c r="F63" i="6"/>
  <c r="E64" i="6"/>
  <c r="E65" i="6" l="1"/>
  <c r="G64" i="6"/>
  <c r="F64" i="6"/>
  <c r="H64" i="6" s="1"/>
  <c r="H63" i="6"/>
  <c r="G65" i="6" l="1"/>
  <c r="E66" i="6"/>
  <c r="F65" i="6"/>
  <c r="E67" i="6" l="1"/>
  <c r="G66" i="6"/>
  <c r="F66" i="6"/>
  <c r="H66" i="6" s="1"/>
  <c r="H65" i="6"/>
  <c r="E68" i="6" l="1"/>
  <c r="G67" i="6"/>
  <c r="F67" i="6"/>
  <c r="H67" i="6" s="1"/>
  <c r="E69" i="6" l="1"/>
  <c r="G68" i="6"/>
  <c r="F68" i="6"/>
  <c r="H68" i="6" s="1"/>
  <c r="G69" i="6" l="1"/>
  <c r="F69" i="6"/>
  <c r="E70" i="6"/>
  <c r="E71" i="6" l="1"/>
  <c r="G70" i="6"/>
  <c r="F70" i="6"/>
  <c r="H70" i="6" s="1"/>
  <c r="H69" i="6"/>
  <c r="G71" i="6" l="1"/>
  <c r="F71" i="6"/>
  <c r="E72" i="6"/>
  <c r="E73" i="6" l="1"/>
  <c r="G72" i="6"/>
  <c r="F72" i="6"/>
  <c r="H72" i="6" s="1"/>
  <c r="H71" i="6"/>
  <c r="G73" i="6" l="1"/>
  <c r="F73" i="6"/>
  <c r="H73" i="6" s="1"/>
  <c r="E74" i="6"/>
  <c r="E75" i="6" l="1"/>
  <c r="G74" i="6"/>
  <c r="F74" i="6"/>
  <c r="H74" i="6" s="1"/>
  <c r="G75" i="6" l="1"/>
  <c r="F75" i="6"/>
  <c r="E76" i="6"/>
  <c r="E77" i="6" l="1"/>
  <c r="G76" i="6"/>
  <c r="F76" i="6"/>
  <c r="H75" i="6"/>
  <c r="G77" i="6" l="1"/>
  <c r="F77" i="6"/>
  <c r="E78" i="6"/>
  <c r="H76" i="6"/>
  <c r="E79" i="6" l="1"/>
  <c r="G78" i="6"/>
  <c r="F78" i="6"/>
  <c r="H78" i="6" s="1"/>
  <c r="H77" i="6"/>
  <c r="G79" i="6" l="1"/>
  <c r="F79" i="6"/>
  <c r="E80" i="6"/>
  <c r="E81" i="6" l="1"/>
  <c r="G80" i="6"/>
  <c r="F80" i="6"/>
  <c r="H80" i="6" s="1"/>
  <c r="H79" i="6"/>
  <c r="G81" i="6" l="1"/>
  <c r="F81" i="6"/>
  <c r="E82" i="6"/>
  <c r="E83" i="6" l="1"/>
  <c r="G82" i="6"/>
  <c r="F82" i="6"/>
  <c r="H82" i="6" s="1"/>
  <c r="H81" i="6"/>
  <c r="G83" i="6" l="1"/>
  <c r="F83" i="6"/>
  <c r="H83" i="6" s="1"/>
  <c r="E84" i="6"/>
  <c r="E85" i="6" l="1"/>
  <c r="G84" i="6"/>
  <c r="F84" i="6"/>
  <c r="H84" i="6" s="1"/>
  <c r="G85" i="6" l="1"/>
  <c r="F85" i="6"/>
  <c r="H85" i="6" s="1"/>
  <c r="E86" i="6"/>
  <c r="E87" i="6" l="1"/>
  <c r="G86" i="6"/>
  <c r="F86" i="6"/>
  <c r="H86" i="6" s="1"/>
  <c r="G87" i="6" l="1"/>
  <c r="F87" i="6"/>
  <c r="H87" i="6" s="1"/>
  <c r="E88" i="6"/>
  <c r="E89" i="6" l="1"/>
  <c r="G88" i="6"/>
  <c r="F88" i="6"/>
  <c r="H88" i="6" s="1"/>
  <c r="G89" i="6" l="1"/>
  <c r="F89" i="6"/>
  <c r="H89" i="6" s="1"/>
  <c r="E90" i="6"/>
  <c r="E91" i="6" l="1"/>
  <c r="G90" i="6"/>
  <c r="F90" i="6"/>
  <c r="H90" i="6" s="1"/>
  <c r="G91" i="6" l="1"/>
  <c r="F91" i="6"/>
  <c r="H91" i="6" s="1"/>
  <c r="E92" i="6"/>
  <c r="E93" i="6" l="1"/>
  <c r="G92" i="6"/>
  <c r="F92" i="6"/>
  <c r="H92" i="6" s="1"/>
  <c r="G93" i="6" l="1"/>
  <c r="F93" i="6"/>
  <c r="H93" i="6" s="1"/>
  <c r="E94" i="6"/>
  <c r="E95" i="6" l="1"/>
  <c r="G94" i="6"/>
  <c r="F94" i="6"/>
  <c r="H94" i="6" s="1"/>
  <c r="G95" i="6" l="1"/>
  <c r="F95" i="6"/>
  <c r="H95" i="6" s="1"/>
  <c r="E96" i="6"/>
  <c r="E97" i="6" l="1"/>
  <c r="G96" i="6"/>
  <c r="F96" i="6"/>
  <c r="H96" i="6" s="1"/>
  <c r="G97" i="6" l="1"/>
  <c r="F97" i="6"/>
  <c r="H97" i="6" s="1"/>
  <c r="E98" i="6"/>
  <c r="E99" i="6" l="1"/>
  <c r="G98" i="6"/>
  <c r="F98" i="6"/>
  <c r="H98" i="6" s="1"/>
  <c r="G99" i="6" l="1"/>
  <c r="F99" i="6"/>
  <c r="H99" i="6" s="1"/>
  <c r="E100" i="6"/>
  <c r="E101" i="6" l="1"/>
  <c r="G100" i="6"/>
  <c r="F100" i="6"/>
  <c r="H100" i="6" s="1"/>
  <c r="G101" i="6" l="1"/>
  <c r="F101" i="6"/>
  <c r="H101" i="6" s="1"/>
  <c r="E102" i="6"/>
  <c r="E103" i="6" l="1"/>
  <c r="G102" i="6"/>
  <c r="F102" i="6"/>
  <c r="H102" i="6" s="1"/>
  <c r="G103" i="6" l="1"/>
  <c r="F103" i="6"/>
  <c r="H103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<sst xmlns="http://schemas.openxmlformats.org/spreadsheetml/2006/main" count="360" uniqueCount="144">
  <si>
    <t>Skrapverdi</t>
  </si>
  <si>
    <t>Prosjektets varighet (år)</t>
  </si>
  <si>
    <t>Avskrivningssats (%)</t>
  </si>
  <si>
    <t>Investeringskostnader:</t>
  </si>
  <si>
    <t xml:space="preserve">  Produksjonsutstyr</t>
  </si>
  <si>
    <t xml:space="preserve">  Produktutvikling</t>
  </si>
  <si>
    <t>Totale investeringskostnader</t>
  </si>
  <si>
    <t>År</t>
  </si>
  <si>
    <t>Startår</t>
  </si>
  <si>
    <t>Tid</t>
  </si>
  <si>
    <t>Prosjektdata:</t>
  </si>
  <si>
    <t>Produktdata:</t>
  </si>
  <si>
    <t>Salgspris per enhet</t>
  </si>
  <si>
    <t>Råvarer</t>
  </si>
  <si>
    <t>Variable produksjonskostnader</t>
  </si>
  <si>
    <t>Variable salgskostnader</t>
  </si>
  <si>
    <t>Dekningsbidrag per enhet</t>
  </si>
  <si>
    <t>EUR</t>
  </si>
  <si>
    <t>%</t>
  </si>
  <si>
    <t>Betalbare faste kostnader</t>
  </si>
  <si>
    <t>DB nytt produkt</t>
  </si>
  <si>
    <t>Salgsprognoser:</t>
  </si>
  <si>
    <t>År 1-2</t>
  </si>
  <si>
    <t>År 3 (endring)</t>
  </si>
  <si>
    <t>Volum</t>
  </si>
  <si>
    <t>DB per enhet</t>
  </si>
  <si>
    <t>Arbeidskapital nytt produkt</t>
  </si>
  <si>
    <t>Arbeidskapital:</t>
  </si>
  <si>
    <t>Kundekreditt (KK)</t>
  </si>
  <si>
    <t>Ferdigvarer (FV)</t>
  </si>
  <si>
    <t>Salgskostnader (SK)</t>
  </si>
  <si>
    <t>Faste kostnader (FK)</t>
  </si>
  <si>
    <t>Dagers binding</t>
  </si>
  <si>
    <t>Antall dager i året</t>
  </si>
  <si>
    <t>Sum</t>
  </si>
  <si>
    <t>Binding</t>
  </si>
  <si>
    <t>Avhengig av salgsvolum</t>
  </si>
  <si>
    <t>Ja</t>
  </si>
  <si>
    <t>Nei</t>
  </si>
  <si>
    <t>År 4 (endring)</t>
  </si>
  <si>
    <t>År 5 (endring)</t>
  </si>
  <si>
    <t>Volumvekst</t>
  </si>
  <si>
    <t>Volumavhengig arbeidskapital</t>
  </si>
  <si>
    <t>Volumuavhengig arbeidskapital</t>
  </si>
  <si>
    <t>Endring volumavhengig arbeidskapital</t>
  </si>
  <si>
    <t>Smitteeffekter</t>
  </si>
  <si>
    <t>Dekningsgrad</t>
  </si>
  <si>
    <t>Redusert omsetning eldre produkter</t>
  </si>
  <si>
    <t>Redusert DB eldre produkter</t>
  </si>
  <si>
    <t>Frigjort arbeidskapital eldre produkter</t>
  </si>
  <si>
    <t>Arb.kap % av omsetning</t>
  </si>
  <si>
    <t>Kontantstrøm fra negative smitteeffekter</t>
  </si>
  <si>
    <t>Økt omsetning tilbehør</t>
  </si>
  <si>
    <t>Reduksjon inntekter eksisterende produkter</t>
  </si>
  <si>
    <t>Økning inntekter fra tilbehør</t>
  </si>
  <si>
    <t>Økt DB tilbehør</t>
  </si>
  <si>
    <t>Økt arbeidskapital tilbehør</t>
  </si>
  <si>
    <t>Kontantstrøm fra positive smitteeffekter</t>
  </si>
  <si>
    <t>Negative:</t>
  </si>
  <si>
    <t>Positive:</t>
  </si>
  <si>
    <t>Avskrivningsprofil</t>
  </si>
  <si>
    <t>Metode</t>
  </si>
  <si>
    <t>Saldo</t>
  </si>
  <si>
    <t>Faste kostnader:</t>
  </si>
  <si>
    <t>Økning betalbare faste kostnader (per mnd.)</t>
  </si>
  <si>
    <t>Antall måneder</t>
  </si>
  <si>
    <t>Økning betalbare faste kostnader (per år)</t>
  </si>
  <si>
    <t>Prosjektnavn</t>
  </si>
  <si>
    <t>EcoTime Pro</t>
  </si>
  <si>
    <t>Vurderingskriterier:</t>
  </si>
  <si>
    <t>Nominell skattesats</t>
  </si>
  <si>
    <t>Avkastningskrav prosjekt før skatt (k)</t>
  </si>
  <si>
    <t>Avkastningskrav prosjekt etter skatt (k_s)</t>
  </si>
  <si>
    <t>År 3-5</t>
  </si>
  <si>
    <t>Resultat før avksrivninger</t>
  </si>
  <si>
    <t>Avskrivninger</t>
  </si>
  <si>
    <t>Resultat før skatt</t>
  </si>
  <si>
    <t>Skatt</t>
  </si>
  <si>
    <t>Lånefinansiering:</t>
  </si>
  <si>
    <t>Lånebeløp</t>
  </si>
  <si>
    <t>Rentesats p.a.</t>
  </si>
  <si>
    <t>Lånetype</t>
  </si>
  <si>
    <t>Lånets løpetid</t>
  </si>
  <si>
    <t>Renter</t>
  </si>
  <si>
    <t>Avdrag</t>
  </si>
  <si>
    <t>Annuitetsbeløp</t>
  </si>
  <si>
    <t>Rente annuitet</t>
  </si>
  <si>
    <t>Avdrag annuitet</t>
  </si>
  <si>
    <t>Serielån:</t>
  </si>
  <si>
    <t>Annuitetslån:</t>
  </si>
  <si>
    <t>Kontantstrøm EK før skatt</t>
  </si>
  <si>
    <t>Kontantstrøm EK etter skatt</t>
  </si>
  <si>
    <t>Kontantstrøm totalkapital (TK)</t>
  </si>
  <si>
    <t>Kontantstrøm TK før skatt</t>
  </si>
  <si>
    <t>Kontantstrøm TK etter skatt</t>
  </si>
  <si>
    <t>Kontantstrøm til egenkapitalen før skatt:</t>
  </si>
  <si>
    <t>Kontantstrøm til egenkapitalen etter skatt:</t>
  </si>
  <si>
    <t>Nåverdi:</t>
  </si>
  <si>
    <t>NNV</t>
  </si>
  <si>
    <t>IRR</t>
  </si>
  <si>
    <t>Avkastningskrav egenkapital før skatt (k_e):</t>
  </si>
  <si>
    <t>Andel EK</t>
  </si>
  <si>
    <t>Andel gjeld (uten arb.kapital)</t>
  </si>
  <si>
    <t>k_e</t>
  </si>
  <si>
    <t>k_es</t>
  </si>
  <si>
    <t xml:space="preserve">     Verdsettelse EcoTime Pro</t>
  </si>
  <si>
    <t>Kontantstrømsanalyse</t>
  </si>
  <si>
    <t>Prosjektoversikt</t>
  </si>
  <si>
    <t>Beløp</t>
  </si>
  <si>
    <t>Sunk cost</t>
  </si>
  <si>
    <t>Investeringskostnader</t>
  </si>
  <si>
    <t>Linje</t>
  </si>
  <si>
    <t>Serie</t>
  </si>
  <si>
    <t>Kontantstrøm til skattemyndigheter</t>
  </si>
  <si>
    <t>Kontantstrøm kreditorer (lån og renter)</t>
  </si>
  <si>
    <t>Kontantstrøm egenkapitalen</t>
  </si>
  <si>
    <t>Inflasjon (årlig)</t>
  </si>
  <si>
    <t>1 og 2</t>
  </si>
  <si>
    <t>I0 og skrapverdi</t>
  </si>
  <si>
    <t>DB - FK</t>
  </si>
  <si>
    <t>6 og 7</t>
  </si>
  <si>
    <t>Arbeidskapital</t>
  </si>
  <si>
    <t>Lån og avdrag</t>
  </si>
  <si>
    <t>KS EK nom. etter skatt</t>
  </si>
  <si>
    <t>KS EK reelt etter skatt</t>
  </si>
  <si>
    <t>Investering og skrapverdi</t>
  </si>
  <si>
    <t>Salgsmengde (stk)</t>
  </si>
  <si>
    <t>Salgspris (EUR)</t>
  </si>
  <si>
    <t>Variable enhetskostnader (EUR)</t>
  </si>
  <si>
    <t>Output</t>
  </si>
  <si>
    <t>NPV</t>
  </si>
  <si>
    <t>Endring</t>
  </si>
  <si>
    <t>Pris</t>
  </si>
  <si>
    <t>Mengde</t>
  </si>
  <si>
    <t>VEK</t>
  </si>
  <si>
    <t>FK</t>
  </si>
  <si>
    <t>Pessimistisk</t>
  </si>
  <si>
    <t>Nøytralt</t>
  </si>
  <si>
    <t>Optimistisk</t>
  </si>
  <si>
    <t>Scenario</t>
  </si>
  <si>
    <t>TR</t>
  </si>
  <si>
    <t>TC</t>
  </si>
  <si>
    <t>I</t>
  </si>
  <si>
    <t>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</si>
</sst>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6" formatCode="0.0\ %"/>
  </numFmts>
  <fonts count="13" x14ac:knownFonts="1">
    <font>
      <sz val="11"/>
      <color theme="1"/>
      <name val="Aptos Narrow"/>
      <family val="2"/>
      <scheme val="minor"/>
    </font>
    <font>
      <sz val="12"/>
      <color theme="1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i/>
      <sz val="12"/>
      <color theme="1"/>
      <name val="Aptos Display"/>
      <family val="2"/>
      <scheme val="major"/>
    </font>
    <font>
      <sz val="12"/>
      <color theme="3" tint="0.249977111117893"/>
      <name val="Aptos Display"/>
      <family val="2"/>
      <scheme val="major"/>
    </font>
    <font>
      <sz val="12"/>
      <color theme="0" tint="-0.34998626667073579"/>
      <name val="Aptos Display"/>
      <family val="2"/>
      <scheme val="major"/>
    </font>
    <font>
      <i/>
      <sz val="12"/>
      <color theme="0" tint="-0.34998626667073579"/>
      <name val="Aptos Display"/>
      <family val="2"/>
      <scheme val="major"/>
    </font>
    <font>
      <i/>
      <u/>
      <sz val="12"/>
      <color theme="1"/>
      <name val="Aptos Display"/>
      <family val="2"/>
      <scheme val="major"/>
    </font>
    <font>
      <i/>
      <u/>
      <sz val="12"/>
      <color theme="0" tint="-0.34998626667073579"/>
      <name val="Aptos Display"/>
      <family val="2"/>
      <scheme val="major"/>
    </font>
    <font>
      <sz val="12"/>
      <name val="Aptos Display"/>
      <family val="2"/>
      <scheme val="major"/>
    </font>
    <font>
      <b/>
      <sz val="14"/>
      <color theme="0"/>
      <name val="Aptos Display"/>
      <family val="2"/>
      <scheme val="major"/>
    </font>
    <font>
      <b/>
      <sz val="16"/>
      <color theme="0"/>
      <name val="Aptos Display"/>
      <family val="2"/>
      <scheme val="major"/>
    </font>
    <font>
      <sz val="12"/>
      <color theme="0"/>
      <name val="Aptos Display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3" fontId="1" fillId="0" borderId="0" xfId="0" applyNumberFormat="1" applyFont="1"/>
    <xf numFmtId="3" fontId="2" fillId="0" borderId="2" xfId="0" applyNumberFormat="1" applyFont="1" applyBorder="1"/>
    <xf numFmtId="3" fontId="1" fillId="0" borderId="2" xfId="0" applyNumberFormat="1" applyFont="1" applyBorder="1"/>
    <xf numFmtId="3" fontId="1" fillId="0" borderId="1" xfId="0" applyNumberFormat="1" applyFont="1" applyBorder="1"/>
    <xf numFmtId="0" fontId="1" fillId="0" borderId="0" xfId="0" applyFont="1"/>
    <xf numFmtId="3" fontId="3" fillId="0" borderId="0" xfId="0" applyNumberFormat="1" applyFont="1"/>
    <xf numFmtId="9" fontId="1" fillId="0" borderId="0" xfId="0" applyNumberFormat="1" applyFont="1"/>
    <xf numFmtId="3" fontId="4" fillId="0" borderId="0" xfId="0" applyNumberFormat="1" applyFont="1"/>
    <xf numFmtId="0" fontId="4" fillId="0" borderId="0" xfId="0" applyFont="1"/>
    <xf numFmtId="9" fontId="4" fillId="0" borderId="0" xfId="0" applyNumberFormat="1" applyFont="1"/>
    <xf numFmtId="3" fontId="2" fillId="0" borderId="3" xfId="0" applyNumberFormat="1" applyFont="1" applyBorder="1"/>
    <xf numFmtId="9" fontId="2" fillId="0" borderId="3" xfId="0" applyNumberFormat="1" applyFont="1" applyBorder="1"/>
    <xf numFmtId="3" fontId="5" fillId="0" borderId="0" xfId="0" applyNumberFormat="1" applyFont="1"/>
    <xf numFmtId="9" fontId="5" fillId="0" borderId="0" xfId="0" applyNumberFormat="1" applyFont="1"/>
    <xf numFmtId="3" fontId="6" fillId="0" borderId="0" xfId="0" applyNumberFormat="1" applyFont="1"/>
    <xf numFmtId="3" fontId="6" fillId="0" borderId="2" xfId="0" applyNumberFormat="1" applyFont="1" applyBorder="1"/>
    <xf numFmtId="3" fontId="2" fillId="0" borderId="1" xfId="0" applyNumberFormat="1" applyFont="1" applyBorder="1"/>
    <xf numFmtId="0" fontId="2" fillId="0" borderId="1" xfId="0" applyFont="1" applyBorder="1"/>
    <xf numFmtId="3" fontId="1" fillId="0" borderId="4" xfId="0" applyNumberFormat="1" applyFont="1" applyBorder="1"/>
    <xf numFmtId="9" fontId="1" fillId="0" borderId="2" xfId="0" applyNumberFormat="1" applyFont="1" applyBorder="1"/>
    <xf numFmtId="9" fontId="4" fillId="0" borderId="2" xfId="0" applyNumberFormat="1" applyFont="1" applyBorder="1"/>
    <xf numFmtId="3" fontId="4" fillId="0" borderId="2" xfId="0" applyNumberFormat="1" applyFont="1" applyBorder="1"/>
    <xf numFmtId="164" fontId="1" fillId="0" borderId="0" xfId="0" applyNumberFormat="1" applyFont="1"/>
    <xf numFmtId="164" fontId="4" fillId="0" borderId="0" xfId="0" applyNumberFormat="1" applyFont="1"/>
    <xf numFmtId="10" fontId="1" fillId="0" borderId="0" xfId="0" applyNumberFormat="1" applyFont="1"/>
    <xf numFmtId="3" fontId="2" fillId="0" borderId="4" xfId="0" applyNumberFormat="1" applyFont="1" applyBorder="1"/>
    <xf numFmtId="3" fontId="4" fillId="0" borderId="0" xfId="0" applyNumberFormat="1" applyFont="1" applyAlignment="1">
      <alignment horizontal="right"/>
    </xf>
    <xf numFmtId="3" fontId="7" fillId="0" borderId="0" xfId="0" applyNumberFormat="1" applyFont="1"/>
    <xf numFmtId="3" fontId="8" fillId="0" borderId="0" xfId="0" applyNumberFormat="1" applyFont="1"/>
    <xf numFmtId="3" fontId="5" fillId="0" borderId="2" xfId="0" applyNumberFormat="1" applyFont="1" applyBorder="1"/>
    <xf numFmtId="3" fontId="2" fillId="0" borderId="6" xfId="0" applyNumberFormat="1" applyFont="1" applyBorder="1"/>
    <xf numFmtId="3" fontId="9" fillId="0" borderId="5" xfId="0" applyNumberFormat="1" applyFont="1" applyBorder="1"/>
    <xf numFmtId="164" fontId="1" fillId="0" borderId="2" xfId="0" applyNumberFormat="1" applyFont="1" applyBorder="1"/>
    <xf numFmtId="10" fontId="1" fillId="0" borderId="2" xfId="0" applyNumberFormat="1" applyFont="1" applyBorder="1"/>
    <xf numFmtId="3" fontId="1" fillId="2" borderId="0" xfId="0" applyNumberFormat="1" applyFont="1" applyFill="1"/>
    <xf numFmtId="3" fontId="11" fillId="2" borderId="0" xfId="0" applyNumberFormat="1" applyFont="1" applyFill="1" applyAlignment="1">
      <alignment horizontal="left"/>
    </xf>
    <xf numFmtId="3" fontId="1" fillId="3" borderId="0" xfId="0" applyNumberFormat="1" applyFont="1" applyFill="1"/>
    <xf numFmtId="3" fontId="10" fillId="3" borderId="0" xfId="0" applyNumberFormat="1" applyFont="1" applyFill="1"/>
    <xf numFmtId="3" fontId="1" fillId="0" borderId="6" xfId="0" applyNumberFormat="1" applyFont="1" applyBorder="1"/>
    <xf numFmtId="3" fontId="3" fillId="0" borderId="2" xfId="0" applyNumberFormat="1" applyFont="1" applyBorder="1"/>
    <xf numFmtId="3" fontId="1" fillId="0" borderId="3" xfId="0" applyNumberFormat="1" applyFont="1" applyBorder="1"/>
    <xf numFmtId="3" fontId="2" fillId="4" borderId="4" xfId="0" applyNumberFormat="1" applyFont="1" applyFill="1" applyBorder="1"/>
    <xf numFmtId="166" fontId="4" fillId="0" borderId="0" xfId="0" applyNumberFormat="1" applyFont="1"/>
    <xf numFmtId="3" fontId="9" fillId="0" borderId="0" xfId="0" applyNumberFormat="1" applyFont="1"/>
    <xf numFmtId="3" fontId="9" fillId="0" borderId="0" xfId="0" applyNumberFormat="1" applyFont="1" applyAlignment="1">
      <alignment horizontal="left"/>
    </xf>
    <xf numFmtId="3" fontId="1" fillId="0" borderId="0" xfId="0" applyNumberFormat="1" applyFont="1" applyAlignment="1">
      <alignment horizontal="left"/>
    </xf>
    <xf numFmtId="3" fontId="1" fillId="0" borderId="2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3" fontId="1" fillId="0" borderId="7" xfId="0" applyNumberFormat="1" applyFont="1" applyBorder="1"/>
    <xf numFmtId="3" fontId="12" fillId="3" borderId="0" xfId="0" applyNumberFormat="1" applyFont="1" applyFill="1"/>
    <xf numFmtId="3" fontId="9" fillId="5" borderId="0" xfId="0" applyNumberFormat="1" applyFont="1" applyFill="1"/>
    <xf numFmtId="10" fontId="9" fillId="5" borderId="0" xfId="0" applyNumberFormat="1" applyFont="1" applyFill="1"/>
    <xf numFmtId="3" fontId="0" fillId="0" borderId="0" xfId="0" applyNumberFormat="1"/>
    <xf numFmtId="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7EEA6-C5F4-4230-878F-DD2CD1A69532}">
  <dimension ref="A1:CR96"/>
  <sheetViews>
    <sheetView showGridLines="0" tabSelected="1" topLeftCell="A46" workbookViewId="0">
      <selection activeCell="Q96" sqref="Q96"/>
    </sheetView>
  </sheetViews>
  <sheetFormatPr defaultColWidth="9.1796875" defaultRowHeight="16" x14ac:dyDescent="0.4"/>
  <cols>
    <col min="1" max="2" width="9.1796875" style="1"/>
    <col min="3" max="3" width="41.453125" style="1" bestFit="1" customWidth="1"/>
    <col min="4" max="4" width="16.1796875" style="1" bestFit="1" customWidth="1"/>
    <col min="5" max="5" width="10.1796875" style="1" bestFit="1" customWidth="1"/>
    <col min="6" max="6" width="23" style="1" bestFit="1" customWidth="1"/>
    <col min="7" max="8" width="9.1796875" style="1"/>
    <col min="9" max="9" width="28.81640625" style="1" customWidth="1"/>
    <col min="10" max="10" width="39.453125" style="1" bestFit="1" customWidth="1"/>
    <col min="11" max="11" width="12.26953125" style="1" bestFit="1" customWidth="1"/>
    <col min="12" max="16" width="11.453125" style="1" bestFit="1" customWidth="1"/>
    <col min="17" max="17" width="10.1796875" style="1" bestFit="1" customWidth="1"/>
    <col min="18" max="16384" width="9.1796875" style="1"/>
  </cols>
  <sheetData>
    <row r="1" spans="1:96" ht="21" x14ac:dyDescent="0.5">
      <c r="A1" s="36" t="s">
        <v>105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</row>
    <row r="2" spans="1:96" x14ac:dyDescent="0.4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</row>
    <row r="4" spans="1:96" ht="18.5" x14ac:dyDescent="0.45">
      <c r="A4" s="38" t="s">
        <v>107</v>
      </c>
      <c r="B4" s="37"/>
      <c r="C4" s="37"/>
      <c r="D4" s="37"/>
      <c r="E4" s="37"/>
      <c r="F4" s="37"/>
      <c r="G4" s="37"/>
      <c r="I4" s="38" t="s">
        <v>106</v>
      </c>
      <c r="J4" s="37"/>
      <c r="K4" s="37"/>
      <c r="L4" s="37"/>
      <c r="M4" s="37"/>
      <c r="N4" s="37"/>
      <c r="O4" s="37"/>
      <c r="P4" s="37"/>
      <c r="Q4" s="37"/>
    </row>
    <row r="5" spans="1:96" x14ac:dyDescent="0.4">
      <c r="A5" s="37"/>
      <c r="B5" s="37"/>
      <c r="C5" s="37"/>
      <c r="D5" s="37"/>
      <c r="E5" s="37"/>
      <c r="F5" s="37"/>
      <c r="G5" s="37"/>
      <c r="I5" s="37"/>
      <c r="J5" s="37"/>
      <c r="K5" s="37"/>
      <c r="L5" s="37"/>
      <c r="M5" s="37"/>
      <c r="N5" s="37"/>
      <c r="O5" s="37"/>
      <c r="P5" s="37"/>
      <c r="Q5" s="37"/>
    </row>
    <row r="6" spans="1:96" x14ac:dyDescent="0.4">
      <c r="C6" s="2" t="s">
        <v>10</v>
      </c>
      <c r="D6" s="2"/>
      <c r="J6" s="15" t="s">
        <v>9</v>
      </c>
      <c r="K6" s="15">
        <f t="shared" ref="K6:P6" si="0">+K7-$D$8</f>
        <v>0</v>
      </c>
      <c r="L6" s="15">
        <f t="shared" si="0"/>
        <v>1</v>
      </c>
      <c r="M6" s="15">
        <f t="shared" si="0"/>
        <v>2</v>
      </c>
      <c r="N6" s="15">
        <f t="shared" si="0"/>
        <v>3</v>
      </c>
      <c r="O6" s="15">
        <f t="shared" si="0"/>
        <v>4</v>
      </c>
      <c r="P6" s="15">
        <f t="shared" si="0"/>
        <v>5</v>
      </c>
    </row>
    <row r="7" spans="1:96" ht="16.5" thickBot="1" x14ac:dyDescent="0.45">
      <c r="C7" s="1" t="s">
        <v>67</v>
      </c>
      <c r="D7" s="27" t="s">
        <v>68</v>
      </c>
      <c r="I7" s="17" t="s">
        <v>111</v>
      </c>
      <c r="J7" s="17" t="s">
        <v>7</v>
      </c>
      <c r="K7" s="18" cm="1">
        <f t="array" ref="K7:P7">+TRANSPOSE(_xlfn.SEQUENCE(D9+1,1,D8,1))</f>
        <v>2026</v>
      </c>
      <c r="L7" s="18">
        <v>2027</v>
      </c>
      <c r="M7" s="18">
        <v>2028</v>
      </c>
      <c r="N7" s="18">
        <v>2029</v>
      </c>
      <c r="O7" s="18">
        <v>2030</v>
      </c>
      <c r="P7" s="18">
        <v>2031</v>
      </c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</row>
    <row r="8" spans="1:96" x14ac:dyDescent="0.4">
      <c r="C8" s="1" t="s">
        <v>8</v>
      </c>
      <c r="D8" s="9">
        <v>2026</v>
      </c>
      <c r="I8" s="1">
        <v>1</v>
      </c>
      <c r="J8" s="1" t="s">
        <v>110</v>
      </c>
      <c r="K8" s="1">
        <f>-D15</f>
        <v>-5000000</v>
      </c>
    </row>
    <row r="9" spans="1:96" x14ac:dyDescent="0.4">
      <c r="C9" s="1" t="s">
        <v>1</v>
      </c>
      <c r="D9" s="8">
        <v>5</v>
      </c>
      <c r="I9" s="3">
        <v>2</v>
      </c>
      <c r="J9" s="3" t="s">
        <v>0</v>
      </c>
      <c r="K9" s="3"/>
      <c r="L9" s="3"/>
      <c r="M9" s="3"/>
      <c r="N9" s="3"/>
      <c r="O9" s="3"/>
      <c r="P9" s="3">
        <f>+$D$20</f>
        <v>1638400.0000000009</v>
      </c>
    </row>
    <row r="10" spans="1:96" x14ac:dyDescent="0.4">
      <c r="C10" s="3" t="s">
        <v>33</v>
      </c>
      <c r="D10" s="22">
        <v>360</v>
      </c>
      <c r="I10" s="15">
        <v>3</v>
      </c>
      <c r="J10" s="13" t="s">
        <v>41</v>
      </c>
      <c r="K10" s="14">
        <v>0</v>
      </c>
      <c r="L10" s="14">
        <v>0</v>
      </c>
      <c r="M10" s="14">
        <v>0</v>
      </c>
      <c r="N10" s="14" cm="1">
        <f t="array" ref="N10:P10">+TRANSPOSE(D24:D26)</f>
        <v>0.1</v>
      </c>
      <c r="O10" s="14">
        <v>0.1</v>
      </c>
      <c r="P10" s="14">
        <v>0</v>
      </c>
    </row>
    <row r="11" spans="1:96" x14ac:dyDescent="0.4">
      <c r="I11" s="15">
        <v>4</v>
      </c>
      <c r="J11" s="15" t="s">
        <v>24</v>
      </c>
      <c r="K11" s="15">
        <v>0</v>
      </c>
      <c r="L11" s="15">
        <f>+$D$23*(1+L10)</f>
        <v>10000</v>
      </c>
      <c r="M11" s="15">
        <f>+L$11*(1+M10)</f>
        <v>10000</v>
      </c>
      <c r="N11" s="15">
        <f>+M$11*(1+N10)</f>
        <v>11000</v>
      </c>
      <c r="O11" s="15">
        <f>+N$11*(1+O10)</f>
        <v>12100.000000000002</v>
      </c>
      <c r="P11" s="15">
        <f>+O$11*(1+P10)</f>
        <v>12100.000000000002</v>
      </c>
    </row>
    <row r="12" spans="1:96" x14ac:dyDescent="0.4">
      <c r="C12" s="2" t="s">
        <v>3</v>
      </c>
      <c r="D12" s="2" t="s">
        <v>108</v>
      </c>
      <c r="E12" s="1" t="s">
        <v>109</v>
      </c>
      <c r="I12" s="16">
        <v>5</v>
      </c>
      <c r="J12" s="16" t="s">
        <v>25</v>
      </c>
      <c r="K12" s="16">
        <v>0</v>
      </c>
      <c r="L12" s="16">
        <f>+$D$33</f>
        <v>200</v>
      </c>
      <c r="M12" s="16">
        <f>+$D$33</f>
        <v>200</v>
      </c>
      <c r="N12" s="16">
        <f>+$D$33</f>
        <v>200</v>
      </c>
      <c r="O12" s="16">
        <f>+$D$33</f>
        <v>200</v>
      </c>
      <c r="P12" s="16">
        <f>+$D$33</f>
        <v>200</v>
      </c>
    </row>
    <row r="13" spans="1:96" x14ac:dyDescent="0.4">
      <c r="C13" s="1" t="s">
        <v>4</v>
      </c>
      <c r="D13" s="8">
        <v>5000000</v>
      </c>
      <c r="E13" s="8" t="s">
        <v>38</v>
      </c>
      <c r="I13" s="1">
        <v>6</v>
      </c>
      <c r="J13" s="1" t="s">
        <v>20</v>
      </c>
      <c r="K13" s="1">
        <v>0</v>
      </c>
      <c r="L13" s="1">
        <f>+L11*L12</f>
        <v>2000000</v>
      </c>
      <c r="M13" s="1">
        <f t="shared" ref="M13:P13" si="1">+M11*M12</f>
        <v>2000000</v>
      </c>
      <c r="N13" s="1">
        <f t="shared" si="1"/>
        <v>2200000</v>
      </c>
      <c r="O13" s="1">
        <f t="shared" si="1"/>
        <v>2420000.0000000005</v>
      </c>
      <c r="P13" s="1">
        <f t="shared" si="1"/>
        <v>2420000.0000000005</v>
      </c>
    </row>
    <row r="14" spans="1:96" x14ac:dyDescent="0.4">
      <c r="C14" s="1" t="s">
        <v>5</v>
      </c>
      <c r="D14" s="8">
        <v>1000000</v>
      </c>
      <c r="E14" s="8" t="s">
        <v>37</v>
      </c>
      <c r="I14" s="3">
        <v>7</v>
      </c>
      <c r="J14" s="3" t="s">
        <v>19</v>
      </c>
      <c r="K14" s="3">
        <v>0</v>
      </c>
      <c r="L14" s="3">
        <f>-$D$38</f>
        <v>-93600</v>
      </c>
      <c r="M14" s="3">
        <f>-$D$38</f>
        <v>-93600</v>
      </c>
      <c r="N14" s="3">
        <f>-$D$38</f>
        <v>-93600</v>
      </c>
      <c r="O14" s="3">
        <f>-$D$38</f>
        <v>-93600</v>
      </c>
      <c r="P14" s="3">
        <f>-$D$38</f>
        <v>-93600</v>
      </c>
    </row>
    <row r="15" spans="1:96" ht="16.5" thickBot="1" x14ac:dyDescent="0.45">
      <c r="C15" s="4" t="s">
        <v>6</v>
      </c>
      <c r="D15" s="4">
        <f>+SUMIF($E$13:$E$14,"Nei",$D$13:$D$14)</f>
        <v>5000000</v>
      </c>
      <c r="E15" s="4"/>
      <c r="I15" s="15">
        <v>8</v>
      </c>
      <c r="J15" s="15" t="s">
        <v>42</v>
      </c>
      <c r="K15" s="15">
        <f>-SUMIF($F$42:$F$45,"Ja",$E$42:$E$45)</f>
        <v>-550000</v>
      </c>
      <c r="L15" s="15">
        <f>+K15*(1+M10)</f>
        <v>-550000</v>
      </c>
      <c r="M15" s="15">
        <f>+L15*(1+N10)</f>
        <v>-605000</v>
      </c>
      <c r="N15" s="15">
        <f>+M15*(1+O10)</f>
        <v>-665500</v>
      </c>
      <c r="O15" s="15">
        <f>+N15*(1+P10)</f>
        <v>-665500</v>
      </c>
      <c r="P15" s="15">
        <v>0</v>
      </c>
    </row>
    <row r="16" spans="1:96" x14ac:dyDescent="0.4">
      <c r="I16" s="15">
        <v>9</v>
      </c>
      <c r="J16" s="15" t="s">
        <v>44</v>
      </c>
      <c r="K16" s="15">
        <v>0</v>
      </c>
      <c r="L16" s="15">
        <f>+K15-L15</f>
        <v>0</v>
      </c>
      <c r="M16" s="15">
        <f>+L15-M15</f>
        <v>55000</v>
      </c>
      <c r="N16" s="15">
        <f>+M15-N15</f>
        <v>60500</v>
      </c>
      <c r="O16" s="15">
        <v>0</v>
      </c>
      <c r="P16" s="15">
        <v>0</v>
      </c>
    </row>
    <row r="17" spans="3:16" x14ac:dyDescent="0.4">
      <c r="C17" s="2" t="s">
        <v>60</v>
      </c>
      <c r="D17" s="2"/>
      <c r="I17" s="16">
        <v>10</v>
      </c>
      <c r="J17" s="16" t="s">
        <v>43</v>
      </c>
      <c r="K17" s="16">
        <f>-E45</f>
        <v>-13000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</row>
    <row r="18" spans="3:16" x14ac:dyDescent="0.4">
      <c r="C18" s="1" t="s">
        <v>61</v>
      </c>
      <c r="D18" s="27" t="s">
        <v>62</v>
      </c>
      <c r="I18" s="3">
        <v>11</v>
      </c>
      <c r="J18" s="19" t="s">
        <v>26</v>
      </c>
      <c r="K18" s="19">
        <f>+SUM(K15:K17)</f>
        <v>-563000</v>
      </c>
      <c r="L18" s="19">
        <f>-L16</f>
        <v>0</v>
      </c>
      <c r="M18" s="19">
        <f t="shared" ref="M18:O18" si="2">-M16</f>
        <v>-55000</v>
      </c>
      <c r="N18" s="19">
        <f t="shared" si="2"/>
        <v>-60500</v>
      </c>
      <c r="O18" s="19">
        <f t="shared" si="2"/>
        <v>0</v>
      </c>
      <c r="P18" s="19">
        <f>-SUM(K18:O18)</f>
        <v>678500</v>
      </c>
    </row>
    <row r="19" spans="3:16" x14ac:dyDescent="0.4">
      <c r="C19" s="1" t="s">
        <v>2</v>
      </c>
      <c r="D19" s="10">
        <v>0.2</v>
      </c>
      <c r="I19" s="15">
        <v>12</v>
      </c>
      <c r="J19" s="13" t="s">
        <v>47</v>
      </c>
      <c r="K19" s="13">
        <v>0</v>
      </c>
      <c r="L19" s="13">
        <f>-$D$50</f>
        <v>-1000000</v>
      </c>
      <c r="M19" s="13">
        <f>+L19*(1+M10)</f>
        <v>-1000000</v>
      </c>
      <c r="N19" s="13">
        <f t="shared" ref="N19:P19" si="3">+M19*(1+N10)</f>
        <v>-1100000</v>
      </c>
      <c r="O19" s="13">
        <f t="shared" si="3"/>
        <v>-1210000</v>
      </c>
      <c r="P19" s="13">
        <f t="shared" si="3"/>
        <v>-1210000</v>
      </c>
    </row>
    <row r="20" spans="3:16" x14ac:dyDescent="0.4">
      <c r="C20" s="3" t="s">
        <v>0</v>
      </c>
      <c r="D20" s="3">
        <f>+$D$13*(1-$D$19)^$D$9</f>
        <v>1638400.0000000009</v>
      </c>
      <c r="I20" s="15">
        <v>13</v>
      </c>
      <c r="J20" s="13" t="s">
        <v>48</v>
      </c>
      <c r="K20" s="13">
        <v>0</v>
      </c>
      <c r="L20" s="13">
        <f>+L19*$D$51</f>
        <v>-300000</v>
      </c>
      <c r="M20" s="13">
        <f>+M19*$D$51</f>
        <v>-300000</v>
      </c>
      <c r="N20" s="13">
        <f>+N19*$D$51</f>
        <v>-330000</v>
      </c>
      <c r="O20" s="13">
        <f>+O19*$D$51</f>
        <v>-363000</v>
      </c>
      <c r="P20" s="13">
        <f>+P19*$D$51</f>
        <v>-363000</v>
      </c>
    </row>
    <row r="21" spans="3:16" x14ac:dyDescent="0.4">
      <c r="I21" s="16">
        <v>14</v>
      </c>
      <c r="J21" s="13" t="s">
        <v>49</v>
      </c>
      <c r="K21" s="13">
        <f>-L19*$D$52</f>
        <v>150000</v>
      </c>
      <c r="L21" s="13">
        <f>(L19-M19)*$D$52</f>
        <v>0</v>
      </c>
      <c r="M21" s="13">
        <f>(M19-N19)*$D$52</f>
        <v>15000</v>
      </c>
      <c r="N21" s="13">
        <f>(N19-O19)*$D$52</f>
        <v>16500</v>
      </c>
      <c r="O21" s="13">
        <f>(O19-P19)*$D$52</f>
        <v>0</v>
      </c>
      <c r="P21" s="13">
        <f>-SUM(K21:O21)</f>
        <v>-181500</v>
      </c>
    </row>
    <row r="22" spans="3:16" x14ac:dyDescent="0.4">
      <c r="C22" s="2" t="s">
        <v>21</v>
      </c>
      <c r="D22" s="2"/>
      <c r="I22" s="3">
        <v>15</v>
      </c>
      <c r="J22" s="19" t="s">
        <v>51</v>
      </c>
      <c r="K22" s="19">
        <f>+SUM(K20:K21)</f>
        <v>150000</v>
      </c>
      <c r="L22" s="19">
        <f t="shared" ref="L22:P22" si="4">+SUM(L20:L21)</f>
        <v>-300000</v>
      </c>
      <c r="M22" s="19">
        <f t="shared" si="4"/>
        <v>-285000</v>
      </c>
      <c r="N22" s="19">
        <f t="shared" si="4"/>
        <v>-313500</v>
      </c>
      <c r="O22" s="19">
        <f t="shared" si="4"/>
        <v>-363000</v>
      </c>
      <c r="P22" s="19">
        <f t="shared" si="4"/>
        <v>-544500</v>
      </c>
    </row>
    <row r="23" spans="3:16" x14ac:dyDescent="0.4">
      <c r="C23" s="1" t="s">
        <v>22</v>
      </c>
      <c r="D23" s="8">
        <v>10000</v>
      </c>
      <c r="I23" s="15">
        <v>16</v>
      </c>
      <c r="J23" s="13" t="s">
        <v>52</v>
      </c>
      <c r="K23" s="13">
        <v>0</v>
      </c>
      <c r="L23" s="13">
        <f>+D54</f>
        <v>500000</v>
      </c>
      <c r="M23" s="13">
        <f>+L23*(1+M10)</f>
        <v>500000</v>
      </c>
      <c r="N23" s="13">
        <f t="shared" ref="N23:P23" si="5">+M23*(1+N10)</f>
        <v>550000</v>
      </c>
      <c r="O23" s="13">
        <f t="shared" si="5"/>
        <v>605000</v>
      </c>
      <c r="P23" s="13">
        <f t="shared" si="5"/>
        <v>605000</v>
      </c>
    </row>
    <row r="24" spans="3:16" x14ac:dyDescent="0.4">
      <c r="C24" s="1" t="s">
        <v>23</v>
      </c>
      <c r="D24" s="10">
        <v>0.1</v>
      </c>
      <c r="I24" s="15">
        <v>17</v>
      </c>
      <c r="J24" s="13" t="s">
        <v>55</v>
      </c>
      <c r="K24" s="13">
        <v>0</v>
      </c>
      <c r="L24" s="13">
        <f>+L23*$D$55</f>
        <v>200000</v>
      </c>
      <c r="M24" s="13">
        <f>+M23*$D$55</f>
        <v>200000</v>
      </c>
      <c r="N24" s="13">
        <f>+N23*$D$55</f>
        <v>220000</v>
      </c>
      <c r="O24" s="13">
        <f>+O23*$D$55</f>
        <v>242000</v>
      </c>
      <c r="P24" s="13">
        <f>+P23*$D$55</f>
        <v>242000</v>
      </c>
    </row>
    <row r="25" spans="3:16" x14ac:dyDescent="0.4">
      <c r="C25" s="1" t="s">
        <v>39</v>
      </c>
      <c r="D25" s="10">
        <v>0.1</v>
      </c>
      <c r="I25" s="16">
        <v>18</v>
      </c>
      <c r="J25" s="13" t="s">
        <v>56</v>
      </c>
      <c r="K25" s="13">
        <f>-L23*$D$56</f>
        <v>-50000</v>
      </c>
      <c r="L25" s="13">
        <f>-(L23-M23)*$D$56</f>
        <v>0</v>
      </c>
      <c r="M25" s="13">
        <f>(M23-N23)*$D$56</f>
        <v>-5000</v>
      </c>
      <c r="N25" s="13">
        <f>(N23-O23)*$D$56</f>
        <v>-5500</v>
      </c>
      <c r="O25" s="13">
        <f>(O23-P23)*$D$56</f>
        <v>0</v>
      </c>
      <c r="P25" s="13">
        <f>-SUM(K25:O25)</f>
        <v>60500</v>
      </c>
    </row>
    <row r="26" spans="3:16" x14ac:dyDescent="0.4">
      <c r="C26" s="3" t="s">
        <v>40</v>
      </c>
      <c r="D26" s="21">
        <v>0</v>
      </c>
      <c r="I26" s="3">
        <v>19</v>
      </c>
      <c r="J26" s="19" t="s">
        <v>57</v>
      </c>
      <c r="K26" s="19">
        <f>+SUM(K24:K25)</f>
        <v>-50000</v>
      </c>
      <c r="L26" s="19">
        <f t="shared" ref="L26:P26" si="6">+SUM(L24:L25)</f>
        <v>200000</v>
      </c>
      <c r="M26" s="19">
        <f t="shared" si="6"/>
        <v>195000</v>
      </c>
      <c r="N26" s="19">
        <f t="shared" si="6"/>
        <v>214500</v>
      </c>
      <c r="O26" s="19">
        <f t="shared" si="6"/>
        <v>242000</v>
      </c>
      <c r="P26" s="19">
        <f t="shared" si="6"/>
        <v>302500</v>
      </c>
    </row>
    <row r="27" spans="3:16" x14ac:dyDescent="0.4">
      <c r="I27" s="3">
        <v>20</v>
      </c>
      <c r="J27" s="26" t="s">
        <v>92</v>
      </c>
      <c r="K27" s="26">
        <f t="shared" ref="K27:P27" si="7">+SUM(K8:K9) +SUM(K13:K14)+K18+K22+K26</f>
        <v>-5463000</v>
      </c>
      <c r="L27" s="26">
        <f t="shared" si="7"/>
        <v>1806400</v>
      </c>
      <c r="M27" s="26">
        <f t="shared" si="7"/>
        <v>1761400</v>
      </c>
      <c r="N27" s="26">
        <f t="shared" si="7"/>
        <v>1946900</v>
      </c>
      <c r="O27" s="26">
        <f t="shared" si="7"/>
        <v>2205400.0000000005</v>
      </c>
      <c r="P27" s="42">
        <f t="shared" si="7"/>
        <v>4401300.0000000019</v>
      </c>
    </row>
    <row r="28" spans="3:16" x14ac:dyDescent="0.4">
      <c r="C28" s="2" t="s">
        <v>11</v>
      </c>
      <c r="D28" s="2" t="s">
        <v>17</v>
      </c>
      <c r="E28" s="2" t="s">
        <v>18</v>
      </c>
    </row>
    <row r="29" spans="3:16" x14ac:dyDescent="0.4">
      <c r="C29" s="1" t="s">
        <v>12</v>
      </c>
      <c r="D29" s="8">
        <v>600</v>
      </c>
      <c r="E29" s="7">
        <f>+D29/$D$29</f>
        <v>1</v>
      </c>
    </row>
    <row r="30" spans="3:16" ht="16.5" thickBot="1" x14ac:dyDescent="0.45">
      <c r="C30" s="1" t="s">
        <v>13</v>
      </c>
      <c r="D30" s="8">
        <v>200</v>
      </c>
      <c r="E30" s="7">
        <f>+D30/$D$29</f>
        <v>0.33333333333333331</v>
      </c>
      <c r="I30" s="17" t="s">
        <v>111</v>
      </c>
      <c r="J30" s="17" t="str">
        <f t="shared" ref="J30:P30" si="8">+J7</f>
        <v>År</v>
      </c>
      <c r="K30" s="18">
        <f t="shared" si="8"/>
        <v>2026</v>
      </c>
      <c r="L30" s="18">
        <f t="shared" si="8"/>
        <v>2027</v>
      </c>
      <c r="M30" s="18">
        <f t="shared" si="8"/>
        <v>2028</v>
      </c>
      <c r="N30" s="18">
        <f t="shared" si="8"/>
        <v>2029</v>
      </c>
      <c r="O30" s="18">
        <f t="shared" si="8"/>
        <v>2030</v>
      </c>
      <c r="P30" s="18">
        <f t="shared" si="8"/>
        <v>2031</v>
      </c>
    </row>
    <row r="31" spans="3:16" x14ac:dyDescent="0.4">
      <c r="C31" s="1" t="s">
        <v>14</v>
      </c>
      <c r="D31" s="8">
        <v>180</v>
      </c>
      <c r="E31" s="7">
        <f>+D31/$D$29</f>
        <v>0.3</v>
      </c>
      <c r="I31" s="39">
        <v>20</v>
      </c>
      <c r="J31" s="31" t="s">
        <v>93</v>
      </c>
      <c r="K31" s="31">
        <f>+K27</f>
        <v>-5463000</v>
      </c>
      <c r="L31" s="31">
        <f t="shared" ref="L31:P31" si="9">+L27</f>
        <v>1806400</v>
      </c>
      <c r="M31" s="31">
        <f t="shared" si="9"/>
        <v>1761400</v>
      </c>
      <c r="N31" s="31">
        <f t="shared" si="9"/>
        <v>1946900</v>
      </c>
      <c r="O31" s="31">
        <f t="shared" si="9"/>
        <v>2205400.0000000005</v>
      </c>
      <c r="P31" s="31">
        <f t="shared" si="9"/>
        <v>4401300.0000000019</v>
      </c>
    </row>
    <row r="32" spans="3:16" x14ac:dyDescent="0.4">
      <c r="C32" s="3" t="s">
        <v>15</v>
      </c>
      <c r="D32" s="22">
        <v>20</v>
      </c>
      <c r="E32" s="20">
        <f>+D32/$D$29</f>
        <v>3.3333333333333333E-2</v>
      </c>
      <c r="I32" s="13">
        <v>21</v>
      </c>
      <c r="J32" s="13" t="s">
        <v>74</v>
      </c>
      <c r="K32" s="13"/>
      <c r="L32" s="13">
        <f>+L13+L20+L14+L24</f>
        <v>1806400</v>
      </c>
      <c r="M32" s="13">
        <f t="shared" ref="M32:P32" si="10">+M13+M20+M14+M24</f>
        <v>1806400</v>
      </c>
      <c r="N32" s="13">
        <f t="shared" si="10"/>
        <v>1996400</v>
      </c>
      <c r="O32" s="13">
        <f t="shared" si="10"/>
        <v>2205400.0000000005</v>
      </c>
      <c r="P32" s="13">
        <f t="shared" si="10"/>
        <v>2205400.0000000005</v>
      </c>
    </row>
    <row r="33" spans="3:18" ht="16.5" thickBot="1" x14ac:dyDescent="0.45">
      <c r="C33" s="11" t="s">
        <v>16</v>
      </c>
      <c r="D33" s="11">
        <f>+D29-SUM(D30:D32)</f>
        <v>200</v>
      </c>
      <c r="E33" s="12">
        <f>+D33/$D$29</f>
        <v>0.33333333333333331</v>
      </c>
      <c r="I33" s="13">
        <v>22</v>
      </c>
      <c r="J33" s="13" t="s">
        <v>75</v>
      </c>
      <c r="K33" s="13"/>
      <c r="L33" s="13">
        <f>-$D$13*(1-$D$19)^(L$6-1)*$D$19</f>
        <v>-1000000</v>
      </c>
      <c r="M33" s="13">
        <f>-$D$13*(1-$D$19)^(M$6-1)*$D$19</f>
        <v>-800000</v>
      </c>
      <c r="N33" s="13">
        <f>-$D$13*(1-$D$19)^(N$6-1)*$D$19</f>
        <v>-640000.00000000012</v>
      </c>
      <c r="O33" s="13">
        <f>-$D$13*(1-$D$19)^(O$6-1)*$D$19</f>
        <v>-512000.00000000012</v>
      </c>
      <c r="P33" s="13">
        <f>-$D$13*(1-$D$19)^(P$6-1)*$D$19</f>
        <v>-409600.00000000023</v>
      </c>
    </row>
    <row r="34" spans="3:18" x14ac:dyDescent="0.4">
      <c r="I34" s="30">
        <v>23</v>
      </c>
      <c r="J34" s="13" t="s">
        <v>76</v>
      </c>
      <c r="K34" s="13"/>
      <c r="L34" s="13">
        <f>+SUM(L32:L33)</f>
        <v>806400</v>
      </c>
      <c r="M34" s="13">
        <f t="shared" ref="M34:P34" si="11">+SUM(M32:M33)</f>
        <v>1006400</v>
      </c>
      <c r="N34" s="13">
        <f t="shared" si="11"/>
        <v>1356400</v>
      </c>
      <c r="O34" s="13">
        <f t="shared" si="11"/>
        <v>1693400.0000000005</v>
      </c>
      <c r="P34" s="13">
        <f t="shared" si="11"/>
        <v>1795800.0000000002</v>
      </c>
    </row>
    <row r="35" spans="3:18" x14ac:dyDescent="0.4">
      <c r="C35" s="2" t="s">
        <v>63</v>
      </c>
      <c r="D35" s="2"/>
      <c r="I35" s="1">
        <v>24</v>
      </c>
      <c r="J35" s="32" t="s">
        <v>77</v>
      </c>
      <c r="K35" s="32"/>
      <c r="L35" s="32">
        <f>-L34*$D$66</f>
        <v>-177408</v>
      </c>
      <c r="M35" s="32">
        <f>-M34*$D$66</f>
        <v>-221408</v>
      </c>
      <c r="N35" s="32">
        <f>-N34*$D$66</f>
        <v>-298408</v>
      </c>
      <c r="O35" s="32">
        <f>-O34*$D$66</f>
        <v>-372548.00000000012</v>
      </c>
      <c r="P35" s="32">
        <f>-P34*$D$66</f>
        <v>-395076.00000000006</v>
      </c>
    </row>
    <row r="36" spans="3:18" x14ac:dyDescent="0.4">
      <c r="C36" s="1" t="s">
        <v>64</v>
      </c>
      <c r="D36" s="8">
        <v>7800</v>
      </c>
      <c r="I36" s="3">
        <v>25</v>
      </c>
      <c r="J36" s="2" t="s">
        <v>94</v>
      </c>
      <c r="K36" s="2">
        <f>+K31+K35</f>
        <v>-5463000</v>
      </c>
      <c r="L36" s="2">
        <f t="shared" ref="L36:P36" si="12">+L31+L35</f>
        <v>1628992</v>
      </c>
      <c r="M36" s="2">
        <f t="shared" si="12"/>
        <v>1539992</v>
      </c>
      <c r="N36" s="2">
        <f t="shared" si="12"/>
        <v>1648492</v>
      </c>
      <c r="O36" s="2">
        <f t="shared" si="12"/>
        <v>1832852.0000000005</v>
      </c>
      <c r="P36" s="2">
        <f t="shared" si="12"/>
        <v>4006224.0000000019</v>
      </c>
      <c r="R36" s="25">
        <f>+IRR(K36:P36)</f>
        <v>0.22916921223496689</v>
      </c>
    </row>
    <row r="37" spans="3:18" x14ac:dyDescent="0.4">
      <c r="C37" s="1" t="s">
        <v>65</v>
      </c>
      <c r="D37" s="8">
        <v>12</v>
      </c>
    </row>
    <row r="38" spans="3:18" ht="16.5" thickBot="1" x14ac:dyDescent="0.45">
      <c r="C38" s="11" t="s">
        <v>66</v>
      </c>
      <c r="D38" s="11">
        <f>+D36*D37</f>
        <v>93600</v>
      </c>
    </row>
    <row r="39" spans="3:18" ht="16.5" thickBot="1" x14ac:dyDescent="0.45">
      <c r="I39" s="17" t="s">
        <v>111</v>
      </c>
      <c r="J39" s="17" t="s">
        <v>7</v>
      </c>
      <c r="K39" s="18">
        <v>2025</v>
      </c>
      <c r="L39" s="18">
        <v>2026</v>
      </c>
      <c r="M39" s="18">
        <v>2027</v>
      </c>
      <c r="N39" s="18">
        <v>2028</v>
      </c>
      <c r="O39" s="18">
        <v>2029</v>
      </c>
      <c r="P39" s="18">
        <v>2030</v>
      </c>
    </row>
    <row r="40" spans="3:18" x14ac:dyDescent="0.4">
      <c r="I40" s="1">
        <v>20</v>
      </c>
      <c r="J40" s="1" t="str">
        <f>+J31</f>
        <v>Kontantstrøm TK før skatt</v>
      </c>
      <c r="K40" s="1">
        <f t="shared" ref="K40:P40" si="13">+K31</f>
        <v>-5463000</v>
      </c>
      <c r="L40" s="1">
        <f t="shared" si="13"/>
        <v>1806400</v>
      </c>
      <c r="M40" s="1">
        <f t="shared" si="13"/>
        <v>1761400</v>
      </c>
      <c r="N40" s="1">
        <f t="shared" si="13"/>
        <v>1946900</v>
      </c>
      <c r="O40" s="1">
        <f t="shared" si="13"/>
        <v>2205400.0000000005</v>
      </c>
      <c r="P40" s="1">
        <f t="shared" si="13"/>
        <v>4401300.0000000019</v>
      </c>
    </row>
    <row r="41" spans="3:18" x14ac:dyDescent="0.4">
      <c r="C41" s="2" t="s">
        <v>27</v>
      </c>
      <c r="D41" s="2" t="s">
        <v>32</v>
      </c>
      <c r="E41" s="2" t="s">
        <v>35</v>
      </c>
      <c r="F41" s="2" t="s">
        <v>36</v>
      </c>
      <c r="I41" s="3">
        <v>26</v>
      </c>
      <c r="J41" s="40" t="s">
        <v>78</v>
      </c>
      <c r="K41" s="2"/>
      <c r="L41" s="2"/>
      <c r="M41" s="2"/>
      <c r="N41" s="2"/>
      <c r="O41" s="2"/>
      <c r="P41" s="2"/>
    </row>
    <row r="42" spans="3:18" x14ac:dyDescent="0.4">
      <c r="C42" s="1" t="s">
        <v>29</v>
      </c>
      <c r="D42" s="8">
        <v>20</v>
      </c>
      <c r="E42" s="1">
        <f>+(D30+D31)*D23*(D42/D10)</f>
        <v>211111.11111111109</v>
      </c>
      <c r="F42" s="6" t="s">
        <v>37</v>
      </c>
      <c r="I42" s="13">
        <f>+I41+1</f>
        <v>27</v>
      </c>
      <c r="J42" s="13" t="s">
        <v>79</v>
      </c>
      <c r="K42" s="13">
        <f>+$D$60</f>
        <v>2000000</v>
      </c>
    </row>
    <row r="43" spans="3:18" x14ac:dyDescent="0.4">
      <c r="C43" s="1" t="s">
        <v>28</v>
      </c>
      <c r="D43" s="8">
        <v>30</v>
      </c>
      <c r="E43" s="1">
        <f>+(D30+D31)*D23*(D43/D10)</f>
        <v>316666.66666666663</v>
      </c>
      <c r="F43" s="6" t="s">
        <v>37</v>
      </c>
      <c r="I43" s="13">
        <f t="shared" ref="I43:I53" si="14">+I42+1</f>
        <v>28</v>
      </c>
      <c r="J43" s="29" t="s">
        <v>88</v>
      </c>
      <c r="K43" s="13"/>
      <c r="L43" s="13"/>
      <c r="M43" s="13"/>
      <c r="N43" s="13"/>
      <c r="O43" s="13"/>
      <c r="P43" s="13"/>
    </row>
    <row r="44" spans="3:18" x14ac:dyDescent="0.4">
      <c r="C44" s="1" t="s">
        <v>30</v>
      </c>
      <c r="D44" s="8">
        <v>40</v>
      </c>
      <c r="E44" s="1">
        <f>+D32*D23*(D44/D10)</f>
        <v>22222.222222222223</v>
      </c>
      <c r="F44" s="6" t="s">
        <v>37</v>
      </c>
      <c r="I44" s="13">
        <f t="shared" si="14"/>
        <v>29</v>
      </c>
      <c r="J44" s="13" t="s">
        <v>83</v>
      </c>
      <c r="K44" s="13"/>
      <c r="L44" s="13">
        <f>-K42*$D$61</f>
        <v>-100000</v>
      </c>
      <c r="M44" s="13">
        <f>-($D$60+SUM($L$45:L45))*$D$61</f>
        <v>-80000</v>
      </c>
      <c r="N44" s="13">
        <f>-($D$60+SUM($L$45:M45))*$D$61</f>
        <v>-60000</v>
      </c>
      <c r="O44" s="13">
        <f>-($D$60+SUM($L$45:N45))*$D$61</f>
        <v>-40000</v>
      </c>
      <c r="P44" s="13">
        <f>-($D$60+SUM($L$45:O45))*$D$61</f>
        <v>-20000</v>
      </c>
    </row>
    <row r="45" spans="3:18" x14ac:dyDescent="0.4">
      <c r="C45" s="1" t="s">
        <v>31</v>
      </c>
      <c r="D45" s="8">
        <v>50</v>
      </c>
      <c r="E45" s="1">
        <f>+D36*12*D45/D10</f>
        <v>13000</v>
      </c>
      <c r="F45" s="6" t="s">
        <v>38</v>
      </c>
      <c r="I45" s="13">
        <f t="shared" si="14"/>
        <v>30</v>
      </c>
      <c r="J45" s="13" t="s">
        <v>84</v>
      </c>
      <c r="K45" s="13"/>
      <c r="L45" s="13">
        <f>-$K$42/5</f>
        <v>-400000</v>
      </c>
      <c r="M45" s="13">
        <f>-$K$42/5</f>
        <v>-400000</v>
      </c>
      <c r="N45" s="13">
        <f>-$K$42/5</f>
        <v>-400000</v>
      </c>
      <c r="O45" s="13">
        <f>-$K$42/5</f>
        <v>-400000</v>
      </c>
      <c r="P45" s="13">
        <f>-$K$42/5</f>
        <v>-400000</v>
      </c>
    </row>
    <row r="46" spans="3:18" ht="16.5" thickBot="1" x14ac:dyDescent="0.45">
      <c r="C46" s="11" t="s">
        <v>34</v>
      </c>
      <c r="D46" s="11"/>
      <c r="E46" s="11">
        <f>+SUM(E42:E45)</f>
        <v>563000</v>
      </c>
      <c r="F46" s="11"/>
      <c r="I46" s="13">
        <f t="shared" si="14"/>
        <v>31</v>
      </c>
      <c r="J46" s="29" t="s">
        <v>89</v>
      </c>
      <c r="K46" s="13"/>
      <c r="L46" s="13"/>
      <c r="M46" s="13"/>
      <c r="N46" s="13"/>
      <c r="O46" s="13"/>
      <c r="P46" s="13"/>
    </row>
    <row r="47" spans="3:18" x14ac:dyDescent="0.4">
      <c r="I47" s="13">
        <f t="shared" si="14"/>
        <v>32</v>
      </c>
      <c r="J47" s="13" t="s">
        <v>85</v>
      </c>
      <c r="K47" s="13"/>
      <c r="L47" s="13">
        <f>+PMT($D$61,$D$62,$D$60,0,0)</f>
        <v>-461949.59625653626</v>
      </c>
      <c r="M47" s="13">
        <f>+PMT($D$61,$D$62,$D$60,0,0)</f>
        <v>-461949.59625653626</v>
      </c>
      <c r="N47" s="13">
        <f>+PMT($D$61,$D$62,$D$60,0,0)</f>
        <v>-461949.59625653626</v>
      </c>
      <c r="O47" s="13">
        <f>+PMT($D$61,$D$62,$D$60,0,0)</f>
        <v>-461949.59625653626</v>
      </c>
      <c r="P47" s="13">
        <f>+PMT($D$61,$D$62,$D$60,0,0)</f>
        <v>-461949.59625653626</v>
      </c>
    </row>
    <row r="48" spans="3:18" x14ac:dyDescent="0.4">
      <c r="C48" s="2" t="s">
        <v>45</v>
      </c>
      <c r="D48" s="2"/>
      <c r="E48" s="2"/>
      <c r="I48" s="13">
        <f t="shared" si="14"/>
        <v>33</v>
      </c>
      <c r="J48" s="13" t="s">
        <v>86</v>
      </c>
      <c r="K48" s="13"/>
      <c r="L48" s="13">
        <f>-$D$60*$D$61</f>
        <v>-100000</v>
      </c>
      <c r="M48" s="13">
        <f>-($D$60+SUM($L$49:L49))*$D$61</f>
        <v>-81902.520187173199</v>
      </c>
      <c r="N48" s="13">
        <f>-($D$60+SUM($L$49:M49))*$D$61</f>
        <v>-62900.166383705036</v>
      </c>
      <c r="O48" s="13">
        <f>-($D$60+SUM($L$49:N49))*$D$61</f>
        <v>-42947.694890063467</v>
      </c>
      <c r="P48" s="13">
        <f>-($D$60+SUM($L$49:O49))*$D$61</f>
        <v>-21997.59982173983</v>
      </c>
    </row>
    <row r="49" spans="3:16" x14ac:dyDescent="0.4">
      <c r="C49" s="6" t="s">
        <v>58</v>
      </c>
      <c r="D49" s="6" t="s">
        <v>22</v>
      </c>
      <c r="E49" s="6" t="s">
        <v>73</v>
      </c>
      <c r="I49" s="30">
        <f t="shared" si="14"/>
        <v>34</v>
      </c>
      <c r="J49" s="30" t="s">
        <v>87</v>
      </c>
      <c r="K49" s="30"/>
      <c r="L49" s="30">
        <f>+L47-L48</f>
        <v>-361949.59625653626</v>
      </c>
      <c r="M49" s="30">
        <f>+M47-M48</f>
        <v>-380047.07606936304</v>
      </c>
      <c r="N49" s="30">
        <f t="shared" ref="N49:P49" si="15">+N47-N48</f>
        <v>-399049.42987283121</v>
      </c>
      <c r="O49" s="30">
        <f t="shared" si="15"/>
        <v>-419001.90136647277</v>
      </c>
      <c r="P49" s="30">
        <f t="shared" si="15"/>
        <v>-439951.99643479643</v>
      </c>
    </row>
    <row r="50" spans="3:16" x14ac:dyDescent="0.4">
      <c r="C50" s="1" t="s">
        <v>53</v>
      </c>
      <c r="D50" s="8">
        <v>1000000</v>
      </c>
      <c r="E50" s="8">
        <v>1200000</v>
      </c>
      <c r="I50" s="1">
        <f t="shared" si="14"/>
        <v>35</v>
      </c>
      <c r="J50" s="28" t="s">
        <v>95</v>
      </c>
    </row>
    <row r="51" spans="3:16" x14ac:dyDescent="0.4">
      <c r="C51" s="1" t="s">
        <v>46</v>
      </c>
      <c r="D51" s="10">
        <v>0.3</v>
      </c>
      <c r="I51" s="1">
        <f t="shared" si="14"/>
        <v>36</v>
      </c>
      <c r="J51" s="1" t="str">
        <f>+_xlfn.CONCAT("Lån og avdrag"," ",LOWER($D$59),"lån")</f>
        <v>Lån og avdrag serielån</v>
      </c>
      <c r="K51" s="1">
        <f>+K42</f>
        <v>2000000</v>
      </c>
      <c r="L51" s="1">
        <f>+IF($D$59="Serie",L45,L49)</f>
        <v>-400000</v>
      </c>
      <c r="M51" s="1">
        <f>+IF($D$59="Serie",M45,M49)</f>
        <v>-400000</v>
      </c>
      <c r="N51" s="1">
        <f>+IF($D$59="Serie",N45,N49)</f>
        <v>-400000</v>
      </c>
      <c r="O51" s="1">
        <f>+IF($D$59="Serie",O45,O49)</f>
        <v>-400000</v>
      </c>
      <c r="P51" s="1">
        <f>+IF($D$59="Serie",P45,P49)</f>
        <v>-400000</v>
      </c>
    </row>
    <row r="52" spans="3:16" x14ac:dyDescent="0.4">
      <c r="C52" s="3" t="s">
        <v>50</v>
      </c>
      <c r="D52" s="21">
        <v>0.15</v>
      </c>
      <c r="E52" s="21"/>
      <c r="I52" s="3">
        <f t="shared" si="14"/>
        <v>37</v>
      </c>
      <c r="J52" s="1" t="str">
        <f>+_xlfn.CONCAT("Renter"," ",LOWER($D$59),"lån")</f>
        <v>Renter serielån</v>
      </c>
      <c r="L52" s="1">
        <f>+IF($D$59="Serie",L44,L48)</f>
        <v>-100000</v>
      </c>
      <c r="M52" s="1">
        <f>+IF($D$59="Serie",M44,M48)</f>
        <v>-80000</v>
      </c>
      <c r="N52" s="1">
        <f>+IF($D$59="Serie",N44,N48)</f>
        <v>-60000</v>
      </c>
      <c r="O52" s="1">
        <f>+IF($D$59="Serie",O44,O48)</f>
        <v>-40000</v>
      </c>
      <c r="P52" s="1">
        <f>+IF($D$59="Serie",P44,P48)</f>
        <v>-20000</v>
      </c>
    </row>
    <row r="53" spans="3:16" x14ac:dyDescent="0.4">
      <c r="C53" s="6" t="s">
        <v>59</v>
      </c>
      <c r="I53" s="19">
        <f t="shared" si="14"/>
        <v>38</v>
      </c>
      <c r="J53" s="26" t="s">
        <v>90</v>
      </c>
      <c r="K53" s="26">
        <f t="shared" ref="K53:P53" si="16">+SUM(K27,K51:K52)</f>
        <v>-3463000</v>
      </c>
      <c r="L53" s="26">
        <f t="shared" si="16"/>
        <v>1306400</v>
      </c>
      <c r="M53" s="26">
        <f t="shared" si="16"/>
        <v>1281400</v>
      </c>
      <c r="N53" s="26">
        <f t="shared" si="16"/>
        <v>1486900</v>
      </c>
      <c r="O53" s="26">
        <f t="shared" si="16"/>
        <v>1765400.0000000005</v>
      </c>
      <c r="P53" s="26">
        <f t="shared" si="16"/>
        <v>3981300.0000000019</v>
      </c>
    </row>
    <row r="54" spans="3:16" x14ac:dyDescent="0.4">
      <c r="C54" s="1" t="s">
        <v>54</v>
      </c>
      <c r="D54" s="8">
        <v>500000</v>
      </c>
    </row>
    <row r="55" spans="3:16" x14ac:dyDescent="0.4">
      <c r="C55" s="1" t="s">
        <v>46</v>
      </c>
      <c r="D55" s="10">
        <v>0.4</v>
      </c>
    </row>
    <row r="56" spans="3:16" ht="16.5" thickBot="1" x14ac:dyDescent="0.45">
      <c r="C56" s="3" t="s">
        <v>50</v>
      </c>
      <c r="D56" s="21">
        <v>0.1</v>
      </c>
      <c r="I56" s="17" t="s">
        <v>111</v>
      </c>
      <c r="J56" s="17" t="s">
        <v>7</v>
      </c>
      <c r="K56" s="18">
        <v>2025</v>
      </c>
      <c r="L56" s="18">
        <v>2026</v>
      </c>
      <c r="M56" s="18">
        <v>2027</v>
      </c>
      <c r="N56" s="18">
        <v>2028</v>
      </c>
      <c r="O56" s="18">
        <v>2029</v>
      </c>
      <c r="P56" s="18">
        <v>2030</v>
      </c>
    </row>
    <row r="57" spans="3:16" x14ac:dyDescent="0.4">
      <c r="I57" s="1">
        <v>39</v>
      </c>
      <c r="J57" s="28" t="s">
        <v>96</v>
      </c>
    </row>
    <row r="58" spans="3:16" x14ac:dyDescent="0.4">
      <c r="C58" s="2" t="s">
        <v>78</v>
      </c>
      <c r="D58" s="2"/>
      <c r="I58" s="1">
        <v>25</v>
      </c>
      <c r="J58" s="1" t="str">
        <f t="shared" ref="J58:P58" si="17">+J36</f>
        <v>Kontantstrøm TK etter skatt</v>
      </c>
      <c r="K58" s="1">
        <f t="shared" si="17"/>
        <v>-5463000</v>
      </c>
      <c r="L58" s="1">
        <f t="shared" si="17"/>
        <v>1628992</v>
      </c>
      <c r="M58" s="1">
        <f t="shared" si="17"/>
        <v>1539992</v>
      </c>
      <c r="N58" s="1">
        <f t="shared" si="17"/>
        <v>1648492</v>
      </c>
      <c r="O58" s="1">
        <f t="shared" si="17"/>
        <v>1832852.0000000005</v>
      </c>
      <c r="P58" s="1">
        <f t="shared" si="17"/>
        <v>4006224.0000000019</v>
      </c>
    </row>
    <row r="59" spans="3:16" x14ac:dyDescent="0.4">
      <c r="C59" s="1" t="s">
        <v>81</v>
      </c>
      <c r="D59" s="27" t="s">
        <v>112</v>
      </c>
      <c r="I59" s="1">
        <f>+I57+1</f>
        <v>40</v>
      </c>
      <c r="J59" s="1" t="str">
        <f>+_xlfn.CONCAT("Lån og avdrag"," ",LOWER($D$59),"lån")</f>
        <v>Lån og avdrag serielån</v>
      </c>
      <c r="K59" s="1">
        <f t="shared" ref="K59:P59" si="18">+K51</f>
        <v>2000000</v>
      </c>
      <c r="L59" s="1">
        <f t="shared" si="18"/>
        <v>-400000</v>
      </c>
      <c r="M59" s="1">
        <f t="shared" si="18"/>
        <v>-400000</v>
      </c>
      <c r="N59" s="1">
        <f t="shared" si="18"/>
        <v>-400000</v>
      </c>
      <c r="O59" s="1">
        <f t="shared" si="18"/>
        <v>-400000</v>
      </c>
      <c r="P59" s="1">
        <f t="shared" si="18"/>
        <v>-400000</v>
      </c>
    </row>
    <row r="60" spans="3:16" x14ac:dyDescent="0.4">
      <c r="C60" s="1" t="s">
        <v>79</v>
      </c>
      <c r="D60" s="8">
        <v>2000000</v>
      </c>
      <c r="I60" s="1">
        <f t="shared" ref="I60:I62" si="19">+I59+1</f>
        <v>41</v>
      </c>
      <c r="J60" s="1" t="str">
        <f>+_xlfn.CONCAT("Renter"," ",LOWER($D$59),"lån")</f>
        <v>Renter serielån</v>
      </c>
      <c r="L60" s="1">
        <f>+L52</f>
        <v>-100000</v>
      </c>
      <c r="M60" s="1">
        <f>+M52</f>
        <v>-80000</v>
      </c>
      <c r="N60" s="1">
        <f>+N52</f>
        <v>-60000</v>
      </c>
      <c r="O60" s="1">
        <f>+O52</f>
        <v>-40000</v>
      </c>
      <c r="P60" s="1">
        <f>+P52</f>
        <v>-20000</v>
      </c>
    </row>
    <row r="61" spans="3:16" x14ac:dyDescent="0.4">
      <c r="C61" s="1" t="s">
        <v>80</v>
      </c>
      <c r="D61" s="10">
        <v>0.05</v>
      </c>
      <c r="I61" s="1">
        <f t="shared" si="19"/>
        <v>42</v>
      </c>
      <c r="J61" s="1" t="str">
        <f>+_xlfn.CONCAT("Skattefordel av renter (",100 * $D$66,"%)")</f>
        <v>Skattefordel av renter (22%)</v>
      </c>
      <c r="L61" s="1">
        <f>-L60*$D$66</f>
        <v>22000</v>
      </c>
      <c r="M61" s="1">
        <f>-M60*$D$66</f>
        <v>17600</v>
      </c>
      <c r="N61" s="1">
        <f>-N60*$D$66</f>
        <v>13200</v>
      </c>
      <c r="O61" s="1">
        <f>-O60*$D$66</f>
        <v>8800</v>
      </c>
      <c r="P61" s="1">
        <f>-P60*$D$66</f>
        <v>4400</v>
      </c>
    </row>
    <row r="62" spans="3:16" ht="16.5" thickBot="1" x14ac:dyDescent="0.45">
      <c r="C62" s="3" t="s">
        <v>82</v>
      </c>
      <c r="D62" s="3">
        <f>+D9</f>
        <v>5</v>
      </c>
      <c r="I62" s="41">
        <f t="shared" si="19"/>
        <v>43</v>
      </c>
      <c r="J62" s="11" t="s">
        <v>91</v>
      </c>
      <c r="K62" s="11">
        <f>+SUM(K36,K51)</f>
        <v>-3463000</v>
      </c>
      <c r="L62" s="11">
        <f>+L36+SUM(L51:L52,L61)</f>
        <v>1150992</v>
      </c>
      <c r="M62" s="11">
        <f>+M36+SUM(M51:M52,M61)</f>
        <v>1077592</v>
      </c>
      <c r="N62" s="11">
        <f>+N36+SUM(N51:N52,N61)</f>
        <v>1201692</v>
      </c>
      <c r="O62" s="11">
        <f>+O36+SUM(O51:O52,O61)</f>
        <v>1401652.0000000005</v>
      </c>
      <c r="P62" s="11">
        <f>+P36+SUM(P51:P52,P61)</f>
        <v>3590624.0000000019</v>
      </c>
    </row>
    <row r="64" spans="3:16" ht="16.5" thickBot="1" x14ac:dyDescent="0.45">
      <c r="C64" s="2" t="s">
        <v>69</v>
      </c>
      <c r="D64" s="2"/>
      <c r="I64" s="17" t="s">
        <v>111</v>
      </c>
      <c r="J64" s="17" t="s">
        <v>7</v>
      </c>
      <c r="K64" s="18">
        <v>2025</v>
      </c>
      <c r="L64" s="18">
        <v>2026</v>
      </c>
      <c r="M64" s="18">
        <v>2027</v>
      </c>
      <c r="N64" s="18">
        <v>2028</v>
      </c>
      <c r="O64" s="18">
        <v>2029</v>
      </c>
      <c r="P64" s="18">
        <v>2030</v>
      </c>
    </row>
    <row r="65" spans="3:16" x14ac:dyDescent="0.4">
      <c r="C65" s="1" t="s">
        <v>71</v>
      </c>
      <c r="D65" s="24">
        <v>9.5000000000000001E-2</v>
      </c>
      <c r="I65" s="1">
        <f>+I40</f>
        <v>20</v>
      </c>
      <c r="J65" s="1" t="str">
        <f t="shared" ref="J65:P65" si="20">+J40</f>
        <v>Kontantstrøm TK før skatt</v>
      </c>
      <c r="K65" s="1">
        <f t="shared" si="20"/>
        <v>-5463000</v>
      </c>
      <c r="L65" s="1">
        <f t="shared" si="20"/>
        <v>1806400</v>
      </c>
      <c r="M65" s="1">
        <f t="shared" si="20"/>
        <v>1761400</v>
      </c>
      <c r="N65" s="1">
        <f t="shared" si="20"/>
        <v>1946900</v>
      </c>
      <c r="O65" s="1">
        <f t="shared" si="20"/>
        <v>2205400.0000000005</v>
      </c>
      <c r="P65" s="1">
        <f t="shared" si="20"/>
        <v>4401300.0000000019</v>
      </c>
    </row>
    <row r="66" spans="3:16" x14ac:dyDescent="0.4">
      <c r="C66" s="1" t="s">
        <v>70</v>
      </c>
      <c r="D66" s="10">
        <v>0.22</v>
      </c>
      <c r="I66" s="1">
        <f>+I41</f>
        <v>26</v>
      </c>
      <c r="J66" s="1" t="str">
        <f t="shared" ref="J66" si="21">+J41</f>
        <v>Lånefinansiering:</v>
      </c>
    </row>
    <row r="67" spans="3:16" x14ac:dyDescent="0.4">
      <c r="C67" s="1" t="s">
        <v>72</v>
      </c>
      <c r="D67" s="10">
        <v>0.09</v>
      </c>
      <c r="I67" s="1">
        <f>+I51</f>
        <v>36</v>
      </c>
      <c r="J67" s="1" t="str">
        <f t="shared" ref="J67:P68" si="22">+J51</f>
        <v>Lån og avdrag serielån</v>
      </c>
      <c r="K67" s="1">
        <f t="shared" si="22"/>
        <v>2000000</v>
      </c>
      <c r="L67" s="1">
        <f t="shared" si="22"/>
        <v>-400000</v>
      </c>
      <c r="M67" s="1">
        <f t="shared" si="22"/>
        <v>-400000</v>
      </c>
      <c r="N67" s="1">
        <f t="shared" si="22"/>
        <v>-400000</v>
      </c>
      <c r="O67" s="1">
        <f t="shared" si="22"/>
        <v>-400000</v>
      </c>
      <c r="P67" s="1">
        <f t="shared" si="22"/>
        <v>-400000</v>
      </c>
    </row>
    <row r="68" spans="3:16" x14ac:dyDescent="0.4">
      <c r="C68" s="28" t="s">
        <v>100</v>
      </c>
      <c r="I68" s="1">
        <f>+I52</f>
        <v>37</v>
      </c>
      <c r="J68" s="1" t="str">
        <f t="shared" si="22"/>
        <v>Renter serielån</v>
      </c>
      <c r="L68" s="1">
        <f t="shared" si="22"/>
        <v>-100000</v>
      </c>
      <c r="M68" s="1">
        <f t="shared" si="22"/>
        <v>-80000</v>
      </c>
      <c r="N68" s="1">
        <f t="shared" si="22"/>
        <v>-60000</v>
      </c>
      <c r="O68" s="1">
        <f t="shared" si="22"/>
        <v>-40000</v>
      </c>
      <c r="P68" s="1">
        <f t="shared" si="22"/>
        <v>-20000</v>
      </c>
    </row>
    <row r="69" spans="3:16" x14ac:dyDescent="0.4">
      <c r="C69" s="1" t="s">
        <v>102</v>
      </c>
      <c r="D69" s="7">
        <f>+D60/D15</f>
        <v>0.4</v>
      </c>
      <c r="I69" s="26">
        <f>+I53</f>
        <v>38</v>
      </c>
      <c r="J69" s="26" t="str">
        <f t="shared" ref="J69:P69" si="23">+J53</f>
        <v>Kontantstrøm EK før skatt</v>
      </c>
      <c r="K69" s="26">
        <f t="shared" si="23"/>
        <v>-3463000</v>
      </c>
      <c r="L69" s="26">
        <f t="shared" si="23"/>
        <v>1306400</v>
      </c>
      <c r="M69" s="26">
        <f t="shared" si="23"/>
        <v>1281400</v>
      </c>
      <c r="N69" s="26">
        <f t="shared" si="23"/>
        <v>1486900</v>
      </c>
      <c r="O69" s="26">
        <f t="shared" si="23"/>
        <v>1765400.0000000005</v>
      </c>
      <c r="P69" s="26">
        <f t="shared" si="23"/>
        <v>3981300.0000000019</v>
      </c>
    </row>
    <row r="70" spans="3:16" x14ac:dyDescent="0.4">
      <c r="C70" s="1" t="s">
        <v>101</v>
      </c>
      <c r="D70" s="7">
        <f>1-D69</f>
        <v>0.6</v>
      </c>
      <c r="I70" s="1">
        <f>+I36</f>
        <v>25</v>
      </c>
      <c r="J70" s="1" t="str">
        <f t="shared" ref="J70:P70" si="24">+J36</f>
        <v>Kontantstrøm TK etter skatt</v>
      </c>
      <c r="K70" s="1">
        <f t="shared" si="24"/>
        <v>-5463000</v>
      </c>
      <c r="L70" s="1">
        <f t="shared" si="24"/>
        <v>1628992</v>
      </c>
      <c r="M70" s="1">
        <f t="shared" si="24"/>
        <v>1539992</v>
      </c>
      <c r="N70" s="1">
        <f t="shared" si="24"/>
        <v>1648492</v>
      </c>
      <c r="O70" s="1">
        <f t="shared" si="24"/>
        <v>1832852.0000000005</v>
      </c>
      <c r="P70" s="1">
        <f t="shared" si="24"/>
        <v>4006224.0000000019</v>
      </c>
    </row>
    <row r="71" spans="3:16" x14ac:dyDescent="0.4">
      <c r="C71" s="1" t="s">
        <v>103</v>
      </c>
      <c r="D71" s="25">
        <f>+$D$65+($D$65-$D$61)*$D$60/($D$15-$D$60)</f>
        <v>0.125</v>
      </c>
      <c r="I71" s="1">
        <f>+I67</f>
        <v>36</v>
      </c>
      <c r="J71" s="1" t="str">
        <f t="shared" ref="J71:P72" si="25">+J67</f>
        <v>Lån og avdrag serielån</v>
      </c>
      <c r="K71" s="1">
        <f t="shared" si="25"/>
        <v>2000000</v>
      </c>
      <c r="L71" s="1">
        <f t="shared" si="25"/>
        <v>-400000</v>
      </c>
      <c r="M71" s="1">
        <f t="shared" si="25"/>
        <v>-400000</v>
      </c>
      <c r="N71" s="1">
        <f t="shared" si="25"/>
        <v>-400000</v>
      </c>
      <c r="O71" s="1">
        <f t="shared" si="25"/>
        <v>-400000</v>
      </c>
      <c r="P71" s="1">
        <f t="shared" si="25"/>
        <v>-400000</v>
      </c>
    </row>
    <row r="72" spans="3:16" x14ac:dyDescent="0.4">
      <c r="C72" s="3" t="s">
        <v>104</v>
      </c>
      <c r="D72" s="34">
        <f>+D71*(1-D66)</f>
        <v>9.7500000000000003E-2</v>
      </c>
      <c r="I72" s="1">
        <f>+I68</f>
        <v>37</v>
      </c>
      <c r="J72" s="1" t="str">
        <f t="shared" si="25"/>
        <v>Renter serielån</v>
      </c>
      <c r="K72" s="1">
        <f t="shared" si="25"/>
        <v>0</v>
      </c>
      <c r="L72" s="1">
        <f t="shared" si="25"/>
        <v>-100000</v>
      </c>
      <c r="M72" s="1">
        <f t="shared" si="25"/>
        <v>-80000</v>
      </c>
      <c r="N72" s="1">
        <f t="shared" si="25"/>
        <v>-60000</v>
      </c>
      <c r="O72" s="1">
        <f t="shared" si="25"/>
        <v>-40000</v>
      </c>
      <c r="P72" s="1">
        <f t="shared" si="25"/>
        <v>-20000</v>
      </c>
    </row>
    <row r="73" spans="3:16" x14ac:dyDescent="0.4">
      <c r="I73" s="3">
        <f>+I61</f>
        <v>42</v>
      </c>
      <c r="J73" s="3" t="str">
        <f t="shared" ref="J73:P73" si="26">+J61</f>
        <v>Skattefordel av renter (22%)</v>
      </c>
      <c r="K73" s="3">
        <f t="shared" si="26"/>
        <v>0</v>
      </c>
      <c r="L73" s="3">
        <f t="shared" si="26"/>
        <v>22000</v>
      </c>
      <c r="M73" s="3">
        <f t="shared" si="26"/>
        <v>17600</v>
      </c>
      <c r="N73" s="3">
        <f t="shared" si="26"/>
        <v>13200</v>
      </c>
      <c r="O73" s="3">
        <f t="shared" si="26"/>
        <v>8800</v>
      </c>
      <c r="P73" s="3">
        <f t="shared" si="26"/>
        <v>4400</v>
      </c>
    </row>
    <row r="74" spans="3:16" ht="16.5" thickBot="1" x14ac:dyDescent="0.45">
      <c r="I74" s="17">
        <f>+I62</f>
        <v>43</v>
      </c>
      <c r="J74" s="17" t="str">
        <f t="shared" ref="J74:P74" si="27">+J62</f>
        <v>Kontantstrøm EK etter skatt</v>
      </c>
      <c r="K74" s="17">
        <f t="shared" si="27"/>
        <v>-3463000</v>
      </c>
      <c r="L74" s="17">
        <f t="shared" si="27"/>
        <v>1150992</v>
      </c>
      <c r="M74" s="17">
        <f t="shared" si="27"/>
        <v>1077592</v>
      </c>
      <c r="N74" s="17">
        <f t="shared" si="27"/>
        <v>1201692</v>
      </c>
      <c r="O74" s="17">
        <f t="shared" si="27"/>
        <v>1401652.0000000005</v>
      </c>
      <c r="P74" s="17">
        <f t="shared" si="27"/>
        <v>3590624.0000000019</v>
      </c>
    </row>
    <row r="76" spans="3:16" ht="16.5" thickBot="1" x14ac:dyDescent="0.45">
      <c r="I76" s="17" t="s">
        <v>111</v>
      </c>
      <c r="J76" s="17" t="s">
        <v>7</v>
      </c>
      <c r="K76" s="18">
        <v>2025</v>
      </c>
      <c r="L76" s="18">
        <v>2026</v>
      </c>
      <c r="M76" s="18">
        <v>2027</v>
      </c>
      <c r="N76" s="18">
        <v>2028</v>
      </c>
      <c r="O76" s="18">
        <v>2029</v>
      </c>
      <c r="P76" s="18">
        <v>2030</v>
      </c>
    </row>
    <row r="77" spans="3:16" x14ac:dyDescent="0.4">
      <c r="I77" s="1">
        <f>+I65</f>
        <v>20</v>
      </c>
      <c r="J77" s="1" t="str">
        <f t="shared" ref="J77:P77" si="28">+J65</f>
        <v>Kontantstrøm TK før skatt</v>
      </c>
      <c r="K77" s="1">
        <f t="shared" si="28"/>
        <v>-5463000</v>
      </c>
      <c r="L77" s="1">
        <f t="shared" si="28"/>
        <v>1806400</v>
      </c>
      <c r="M77" s="1">
        <f t="shared" si="28"/>
        <v>1761400</v>
      </c>
      <c r="N77" s="1">
        <f t="shared" si="28"/>
        <v>1946900</v>
      </c>
      <c r="O77" s="1">
        <f t="shared" si="28"/>
        <v>2205400.0000000005</v>
      </c>
      <c r="P77" s="1">
        <f t="shared" si="28"/>
        <v>4401300.0000000019</v>
      </c>
    </row>
    <row r="78" spans="3:16" x14ac:dyDescent="0.4">
      <c r="I78" s="1">
        <f>+I35</f>
        <v>24</v>
      </c>
      <c r="J78" s="1" t="str">
        <f t="shared" ref="J78:P78" si="29">+J35</f>
        <v>Skatt</v>
      </c>
      <c r="L78" s="1">
        <f t="shared" si="29"/>
        <v>-177408</v>
      </c>
      <c r="M78" s="1">
        <f t="shared" si="29"/>
        <v>-221408</v>
      </c>
      <c r="N78" s="1">
        <f t="shared" si="29"/>
        <v>-298408</v>
      </c>
      <c r="O78" s="1">
        <f t="shared" si="29"/>
        <v>-372548.00000000012</v>
      </c>
      <c r="P78" s="1">
        <f t="shared" si="29"/>
        <v>-395076.00000000006</v>
      </c>
    </row>
    <row r="79" spans="3:16" x14ac:dyDescent="0.4">
      <c r="I79" s="1">
        <f>+I73</f>
        <v>42</v>
      </c>
      <c r="J79" s="1" t="str">
        <f t="shared" ref="J79:P79" si="30">+J73</f>
        <v>Skattefordel av renter (22%)</v>
      </c>
      <c r="L79" s="1">
        <f t="shared" si="30"/>
        <v>22000</v>
      </c>
      <c r="M79" s="1">
        <f t="shared" si="30"/>
        <v>17600</v>
      </c>
      <c r="N79" s="1">
        <f t="shared" si="30"/>
        <v>13200</v>
      </c>
      <c r="O79" s="1">
        <f t="shared" si="30"/>
        <v>8800</v>
      </c>
      <c r="P79" s="1">
        <f t="shared" si="30"/>
        <v>4400</v>
      </c>
    </row>
    <row r="80" spans="3:16" x14ac:dyDescent="0.4">
      <c r="I80" s="6">
        <v>44</v>
      </c>
      <c r="J80" s="6" t="s">
        <v>113</v>
      </c>
      <c r="K80" s="6"/>
      <c r="L80" s="6">
        <f>-L78-L79</f>
        <v>155408</v>
      </c>
      <c r="M80" s="6">
        <f t="shared" ref="M80:P80" si="31">-M78-M79</f>
        <v>203808</v>
      </c>
      <c r="N80" s="6">
        <f t="shared" si="31"/>
        <v>285208</v>
      </c>
      <c r="O80" s="6">
        <f t="shared" si="31"/>
        <v>363748.00000000012</v>
      </c>
      <c r="P80" s="6">
        <f t="shared" si="31"/>
        <v>390676.00000000006</v>
      </c>
    </row>
    <row r="81" spans="9:19" x14ac:dyDescent="0.4">
      <c r="I81" s="1">
        <v>45</v>
      </c>
      <c r="J81" s="1" t="s">
        <v>114</v>
      </c>
      <c r="K81" s="1">
        <f>-SUM(K71:K72)</f>
        <v>-2000000</v>
      </c>
      <c r="L81" s="1">
        <f>-SUM(L71:L72)</f>
        <v>500000</v>
      </c>
      <c r="M81" s="1">
        <f t="shared" ref="M81:P81" si="32">-SUM(M71:M72)</f>
        <v>480000</v>
      </c>
      <c r="N81" s="1">
        <f t="shared" si="32"/>
        <v>460000</v>
      </c>
      <c r="O81" s="1">
        <f t="shared" si="32"/>
        <v>440000</v>
      </c>
      <c r="P81" s="1">
        <f t="shared" si="32"/>
        <v>420000</v>
      </c>
    </row>
    <row r="82" spans="9:19" x14ac:dyDescent="0.4">
      <c r="I82" s="1">
        <v>46</v>
      </c>
      <c r="J82" s="1" t="s">
        <v>115</v>
      </c>
      <c r="K82" s="1">
        <f>+K74</f>
        <v>-3463000</v>
      </c>
      <c r="L82" s="1">
        <f>+L74</f>
        <v>1150992</v>
      </c>
      <c r="M82" s="1">
        <f t="shared" ref="M82:P82" si="33">+M74</f>
        <v>1077592</v>
      </c>
      <c r="N82" s="1">
        <f t="shared" si="33"/>
        <v>1201692</v>
      </c>
      <c r="O82" s="1">
        <f t="shared" si="33"/>
        <v>1401652.0000000005</v>
      </c>
      <c r="P82" s="1">
        <f t="shared" si="33"/>
        <v>3590624.0000000019</v>
      </c>
    </row>
    <row r="92" spans="9:19" ht="16.5" thickBot="1" x14ac:dyDescent="0.45">
      <c r="I92" s="17" t="s">
        <v>97</v>
      </c>
      <c r="J92" s="18">
        <f t="shared" ref="J92:O92" si="34">+K39</f>
        <v>2025</v>
      </c>
      <c r="K92" s="18">
        <f t="shared" si="34"/>
        <v>2026</v>
      </c>
      <c r="L92" s="18">
        <f t="shared" si="34"/>
        <v>2027</v>
      </c>
      <c r="M92" s="18">
        <f t="shared" si="34"/>
        <v>2028</v>
      </c>
      <c r="N92" s="18">
        <f t="shared" si="34"/>
        <v>2029</v>
      </c>
      <c r="O92" s="18">
        <f t="shared" si="34"/>
        <v>2030</v>
      </c>
      <c r="P92" s="17" t="s">
        <v>98</v>
      </c>
      <c r="Q92" s="17" t="s">
        <v>99</v>
      </c>
    </row>
    <row r="93" spans="9:19" x14ac:dyDescent="0.4">
      <c r="I93" s="1" t="str">
        <f>+J27</f>
        <v>Kontantstrøm totalkapital (TK)</v>
      </c>
      <c r="J93" s="1">
        <f>+K27</f>
        <v>-5463000</v>
      </c>
      <c r="K93" s="1">
        <f>+L27/(1+$D$65)^L$6</f>
        <v>1649680.3652968036</v>
      </c>
      <c r="L93" s="1">
        <f>+M27/(1+$D$65)^M$6</f>
        <v>1469026.9177039678</v>
      </c>
      <c r="M93" s="1">
        <f>+N27/(1+$D$65)^N$6</f>
        <v>1482863.8832217082</v>
      </c>
      <c r="N93" s="1">
        <f>+O27/(1+$D$65)^O$6</f>
        <v>1534019.5468488159</v>
      </c>
      <c r="O93" s="1">
        <f>+P27/(1+$D$65)^P$6</f>
        <v>2795827.5232050577</v>
      </c>
      <c r="P93" s="1">
        <f>+SUM(J93:O93)</f>
        <v>3468418.2362763528</v>
      </c>
      <c r="Q93" s="25">
        <f>+IRR(K27:P27)</f>
        <v>0.28436047701057232</v>
      </c>
      <c r="S93" s="25"/>
    </row>
    <row r="94" spans="9:19" x14ac:dyDescent="0.4">
      <c r="I94" s="1" t="str">
        <f>+J36</f>
        <v>Kontantstrøm TK etter skatt</v>
      </c>
      <c r="J94" s="1">
        <f>+K36</f>
        <v>-5463000</v>
      </c>
      <c r="K94" s="1">
        <f>+L36/(1+$D$67)^L6</f>
        <v>1494488.0733944953</v>
      </c>
      <c r="L94" s="1">
        <f>+M36/(1+$D$67)^M6</f>
        <v>1296180.4561905563</v>
      </c>
      <c r="M94" s="1">
        <f>+N36/(1+$D$67)^N6</f>
        <v>1272938.2894128237</v>
      </c>
      <c r="N94" s="1">
        <f>+O36/(1+$D$67)^O6</f>
        <v>1298438.5649512678</v>
      </c>
      <c r="O94" s="1">
        <f>+P36/(1+$D$67)^P6</f>
        <v>2603770.7181417034</v>
      </c>
      <c r="P94" s="1">
        <f>+SUM(J94:O94)</f>
        <v>2502816.1020908463</v>
      </c>
      <c r="Q94" s="25">
        <f>+IRR(K36:P36)</f>
        <v>0.22916921223496689</v>
      </c>
      <c r="R94" s="25">
        <f>+(Q93-Q94)/Q93</f>
        <v>0.19408908493831742</v>
      </c>
      <c r="S94" s="25"/>
    </row>
    <row r="95" spans="9:19" x14ac:dyDescent="0.4">
      <c r="I95" s="1" t="str">
        <f>+J53</f>
        <v>Kontantstrøm EK før skatt</v>
      </c>
      <c r="J95" s="1">
        <f>+K53</f>
        <v>-3463000</v>
      </c>
      <c r="K95" s="1">
        <f>+L53/(1+$D$71)^L6</f>
        <v>1161244.4444444445</v>
      </c>
      <c r="L95" s="1">
        <f>+M53/(1+$D$71)^M6</f>
        <v>1012464.1975308642</v>
      </c>
      <c r="M95" s="1">
        <f>+N53/(1+$D$71)^N6</f>
        <v>1044297.3936899863</v>
      </c>
      <c r="N95" s="1">
        <f>+O53/(1+$D$71)^O6</f>
        <v>1102130.5288827925</v>
      </c>
      <c r="O95" s="1">
        <f>+P53/(1+$D$71)^P6</f>
        <v>2209338.6577249411</v>
      </c>
      <c r="P95" s="1">
        <f>+SUM(J95:O95)</f>
        <v>3066475.2222730285</v>
      </c>
      <c r="Q95" s="23">
        <f>+IRR(K53:P53)</f>
        <v>0.38063529567069088</v>
      </c>
    </row>
    <row r="96" spans="9:19" x14ac:dyDescent="0.4">
      <c r="I96" s="3" t="str">
        <f>+J62</f>
        <v>Kontantstrøm EK etter skatt</v>
      </c>
      <c r="J96" s="3">
        <f>+K62</f>
        <v>-3463000</v>
      </c>
      <c r="K96" s="3">
        <f>+L62/(1+$D$72)^L6</f>
        <v>1048739.8633257404</v>
      </c>
      <c r="L96" s="3">
        <f>+M62/(1+$D$72)^M6</f>
        <v>894633.79704339441</v>
      </c>
      <c r="M96" s="3">
        <f>+N62/(1+$D$72)^N6</f>
        <v>909032.86147161969</v>
      </c>
      <c r="N96" s="3">
        <f>+O62/(1+$D$72)^O6</f>
        <v>966100.00730209518</v>
      </c>
      <c r="O96" s="3">
        <f>+P62/(1+$D$72)^P6</f>
        <v>2255003.8352200175</v>
      </c>
      <c r="P96" s="3">
        <f>+SUM(J96:O96)</f>
        <v>2610510.3643628666</v>
      </c>
      <c r="Q96" s="33">
        <f>+IRR(K62:P62)</f>
        <v>0.30806524596246443</v>
      </c>
    </row>
  </sheetData>
  <pageMargins left="0.7" right="0.7" top="0.75" bottom="0.75" header="0.3" footer="0.3"/>
  <ignoredErrors>
    <ignoredError sqref="K27 L27:M27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44C63-6238-4581-8E61-8A47F86CA9DE}">
  <dimension ref="A1:CR73"/>
  <sheetViews>
    <sheetView showGridLines="0" topLeftCell="A6" zoomScale="90" zoomScaleNormal="90" workbookViewId="0">
      <selection activeCell="A30" sqref="A30"/>
    </sheetView>
  </sheetViews>
  <sheetFormatPr defaultColWidth="9.1796875" defaultRowHeight="16" x14ac:dyDescent="0.4"/>
  <cols>
    <col min="1" max="2" width="9.1796875" style="1"/>
    <col min="3" max="3" width="41.453125" style="1" bestFit="1" customWidth="1"/>
    <col min="4" max="4" width="16.1796875" style="1" bestFit="1" customWidth="1"/>
    <col min="5" max="5" width="10.1796875" style="1" bestFit="1" customWidth="1"/>
    <col min="6" max="6" width="23" style="1" bestFit="1" customWidth="1"/>
    <col min="7" max="9" width="9.1796875" style="1"/>
    <col min="10" max="10" width="39.453125" style="1" bestFit="1" customWidth="1"/>
    <col min="11" max="11" width="12.26953125" style="1" bestFit="1" customWidth="1"/>
    <col min="12" max="16" width="11.453125" style="1" bestFit="1" customWidth="1"/>
    <col min="17" max="17" width="10.1796875" style="1" bestFit="1" customWidth="1"/>
    <col min="18" max="16384" width="9.1796875" style="1"/>
  </cols>
  <sheetData>
    <row r="1" spans="1:96" ht="21" x14ac:dyDescent="0.5">
      <c r="A1" s="36" t="s">
        <v>105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</row>
    <row r="2" spans="1:96" x14ac:dyDescent="0.4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</row>
    <row r="4" spans="1:96" ht="18.5" x14ac:dyDescent="0.45">
      <c r="A4" s="38" t="s">
        <v>107</v>
      </c>
      <c r="B4" s="37"/>
      <c r="C4" s="37"/>
      <c r="D4" s="37"/>
      <c r="E4" s="37"/>
      <c r="F4" s="37"/>
      <c r="G4" s="37"/>
      <c r="I4" s="38" t="s">
        <v>106</v>
      </c>
      <c r="J4" s="37"/>
      <c r="K4" s="37"/>
      <c r="L4" s="37"/>
      <c r="M4" s="37"/>
      <c r="N4" s="37"/>
      <c r="O4" s="37"/>
      <c r="P4" s="37"/>
      <c r="Q4" s="37"/>
    </row>
    <row r="5" spans="1:96" x14ac:dyDescent="0.4">
      <c r="A5" s="37"/>
      <c r="B5" s="37"/>
      <c r="C5" s="37"/>
      <c r="D5" s="37"/>
      <c r="E5" s="37"/>
      <c r="F5" s="37"/>
      <c r="G5" s="37"/>
      <c r="I5" s="37"/>
      <c r="J5" s="37"/>
      <c r="K5" s="37"/>
      <c r="L5" s="37"/>
      <c r="M5" s="37"/>
      <c r="N5" s="37"/>
      <c r="O5" s="37"/>
      <c r="P5" s="37"/>
      <c r="Q5" s="37"/>
    </row>
    <row r="6" spans="1:96" x14ac:dyDescent="0.4">
      <c r="C6" s="2" t="s">
        <v>10</v>
      </c>
      <c r="D6" s="2"/>
      <c r="J6" s="15" t="s">
        <v>9</v>
      </c>
      <c r="K6" s="15">
        <f t="shared" ref="K6:P6" si="0">+K7-$D$8</f>
        <v>0</v>
      </c>
      <c r="L6" s="15">
        <f t="shared" si="0"/>
        <v>1</v>
      </c>
      <c r="M6" s="15">
        <f t="shared" si="0"/>
        <v>2</v>
      </c>
      <c r="N6" s="15">
        <f t="shared" si="0"/>
        <v>3</v>
      </c>
      <c r="O6" s="15">
        <f t="shared" si="0"/>
        <v>4</v>
      </c>
      <c r="P6" s="15">
        <f t="shared" si="0"/>
        <v>5</v>
      </c>
    </row>
    <row r="7" spans="1:96" ht="16.5" thickBot="1" x14ac:dyDescent="0.45">
      <c r="C7" s="1" t="s">
        <v>67</v>
      </c>
      <c r="D7" s="27" t="s">
        <v>68</v>
      </c>
      <c r="I7" s="17" t="s">
        <v>111</v>
      </c>
      <c r="J7" s="17" t="s">
        <v>7</v>
      </c>
      <c r="K7" s="18" cm="1">
        <f t="array" ref="K7:P7">+TRANSPOSE(_xlfn.SEQUENCE(D9+1,1,D8,1))</f>
        <v>2025</v>
      </c>
      <c r="L7" s="18">
        <v>2026</v>
      </c>
      <c r="M7" s="18">
        <v>2027</v>
      </c>
      <c r="N7" s="18">
        <v>2028</v>
      </c>
      <c r="O7" s="18">
        <v>2029</v>
      </c>
      <c r="P7" s="18">
        <v>2030</v>
      </c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</row>
    <row r="8" spans="1:96" x14ac:dyDescent="0.4">
      <c r="C8" s="1" t="s">
        <v>8</v>
      </c>
      <c r="D8" s="9">
        <v>2025</v>
      </c>
      <c r="I8" s="1">
        <v>1</v>
      </c>
      <c r="J8" s="1" t="s">
        <v>110</v>
      </c>
      <c r="K8" s="1">
        <f>-D16</f>
        <v>-5000000</v>
      </c>
    </row>
    <row r="9" spans="1:96" x14ac:dyDescent="0.4">
      <c r="C9" s="1" t="s">
        <v>1</v>
      </c>
      <c r="D9" s="8">
        <v>5</v>
      </c>
      <c r="I9" s="3">
        <v>2</v>
      </c>
      <c r="J9" s="3" t="s">
        <v>0</v>
      </c>
      <c r="K9" s="3"/>
      <c r="L9" s="3"/>
      <c r="M9" s="3"/>
      <c r="N9" s="3"/>
      <c r="O9" s="3"/>
      <c r="P9" s="3">
        <f>+$D$21</f>
        <v>1638400.0000000009</v>
      </c>
    </row>
    <row r="10" spans="1:96" x14ac:dyDescent="0.4">
      <c r="C10" s="1" t="s">
        <v>116</v>
      </c>
      <c r="D10" s="43">
        <v>2.5000000000000001E-2</v>
      </c>
      <c r="I10" s="15">
        <v>4</v>
      </c>
      <c r="J10" s="15" t="s">
        <v>24</v>
      </c>
      <c r="K10" s="15">
        <v>0</v>
      </c>
      <c r="L10" s="15">
        <f>+$D$24</f>
        <v>10000</v>
      </c>
      <c r="M10" s="15">
        <f t="shared" ref="M10:P10" si="1">+$D$24</f>
        <v>10000</v>
      </c>
      <c r="N10" s="15">
        <f t="shared" si="1"/>
        <v>10000</v>
      </c>
      <c r="O10" s="15">
        <f t="shared" si="1"/>
        <v>10000</v>
      </c>
      <c r="P10" s="15">
        <f t="shared" si="1"/>
        <v>10000</v>
      </c>
    </row>
    <row r="11" spans="1:96" x14ac:dyDescent="0.4">
      <c r="C11" s="3" t="s">
        <v>33</v>
      </c>
      <c r="D11" s="22">
        <v>360</v>
      </c>
      <c r="I11" s="16">
        <v>5</v>
      </c>
      <c r="J11" s="16" t="s">
        <v>25</v>
      </c>
      <c r="K11" s="16">
        <v>0</v>
      </c>
      <c r="L11" s="16">
        <f>+$D$34</f>
        <v>200</v>
      </c>
      <c r="M11" s="16">
        <f>+$D$34</f>
        <v>200</v>
      </c>
      <c r="N11" s="16">
        <f>+$D$34</f>
        <v>200</v>
      </c>
      <c r="O11" s="16">
        <f>+$D$34</f>
        <v>200</v>
      </c>
      <c r="P11" s="16">
        <f>+$D$34</f>
        <v>200</v>
      </c>
    </row>
    <row r="12" spans="1:96" x14ac:dyDescent="0.4">
      <c r="I12" s="1">
        <v>6</v>
      </c>
      <c r="J12" s="1" t="s">
        <v>20</v>
      </c>
      <c r="K12" s="1">
        <v>0</v>
      </c>
      <c r="L12" s="1">
        <f>+L10*L11</f>
        <v>2000000</v>
      </c>
      <c r="M12" s="1">
        <f>+M10*M11*(1+$D$10)^L$6</f>
        <v>2049999.9999999998</v>
      </c>
      <c r="N12" s="1">
        <f>+N10*N11*(1+$D$10)^M$6</f>
        <v>2101250</v>
      </c>
      <c r="O12" s="1">
        <f>+O10*O11*(1+$D$10)^N$6</f>
        <v>2153781.2499999995</v>
      </c>
      <c r="P12" s="1">
        <f>+P10*P11*(1+$D$10)^O$6</f>
        <v>2207625.7812499995</v>
      </c>
    </row>
    <row r="13" spans="1:96" x14ac:dyDescent="0.4">
      <c r="C13" s="2" t="s">
        <v>3</v>
      </c>
      <c r="D13" s="2" t="s">
        <v>108</v>
      </c>
      <c r="E13" s="1" t="s">
        <v>109</v>
      </c>
      <c r="I13" s="3">
        <v>7</v>
      </c>
      <c r="J13" s="3" t="s">
        <v>19</v>
      </c>
      <c r="K13" s="3">
        <v>0</v>
      </c>
      <c r="L13" s="3">
        <f>-$D$39</f>
        <v>-93600</v>
      </c>
      <c r="M13" s="3">
        <f>-$D$39*(1+$D$10)^L$6</f>
        <v>-95939.999999999985</v>
      </c>
      <c r="N13" s="3">
        <f t="shared" ref="N13:P13" si="2">-$D$39*(1+$D$10)^M$6</f>
        <v>-98338.499999999985</v>
      </c>
      <c r="O13" s="3">
        <f t="shared" si="2"/>
        <v>-100796.96249999999</v>
      </c>
      <c r="P13" s="3">
        <f t="shared" si="2"/>
        <v>-103316.88656249997</v>
      </c>
    </row>
    <row r="14" spans="1:96" x14ac:dyDescent="0.4">
      <c r="C14" s="1" t="s">
        <v>4</v>
      </c>
      <c r="D14" s="8">
        <v>5000000</v>
      </c>
      <c r="E14" s="8" t="s">
        <v>38</v>
      </c>
      <c r="I14" s="15">
        <v>8</v>
      </c>
      <c r="J14" s="15" t="s">
        <v>42</v>
      </c>
      <c r="K14" s="15">
        <f>-SUM(E43:E46)</f>
        <v>-563000</v>
      </c>
      <c r="L14" s="15">
        <f>+K14*(1+$D$10)</f>
        <v>-577075</v>
      </c>
      <c r="M14" s="15">
        <f t="shared" ref="M14:O14" si="3">+L14*(1+$D$10)</f>
        <v>-591501.875</v>
      </c>
      <c r="N14" s="15">
        <f t="shared" si="3"/>
        <v>-606289.421875</v>
      </c>
      <c r="O14" s="15">
        <f t="shared" si="3"/>
        <v>-621446.65742187493</v>
      </c>
      <c r="P14" s="15"/>
    </row>
    <row r="15" spans="1:96" x14ac:dyDescent="0.4">
      <c r="C15" s="1" t="s">
        <v>5</v>
      </c>
      <c r="D15" s="8">
        <v>1000000</v>
      </c>
      <c r="E15" s="8" t="s">
        <v>37</v>
      </c>
      <c r="I15" s="15">
        <v>9</v>
      </c>
      <c r="J15" s="15" t="s">
        <v>44</v>
      </c>
      <c r="K15" s="15">
        <v>0</v>
      </c>
      <c r="L15" s="15">
        <f>+K14-L14</f>
        <v>14075</v>
      </c>
      <c r="M15" s="15">
        <f>+L14-M14</f>
        <v>14426.875</v>
      </c>
      <c r="N15" s="15">
        <f>+M14-N14</f>
        <v>14787.546875</v>
      </c>
      <c r="O15" s="15">
        <f t="shared" ref="O15" si="4">+N14-O14</f>
        <v>15157.23554687493</v>
      </c>
      <c r="P15" s="15"/>
    </row>
    <row r="16" spans="1:96" ht="16.5" thickBot="1" x14ac:dyDescent="0.45">
      <c r="C16" s="4" t="s">
        <v>6</v>
      </c>
      <c r="D16" s="4">
        <f>+SUMIF($E$14:$E$15,"Nei",$D$14:$D$15)</f>
        <v>5000000</v>
      </c>
      <c r="E16" s="4"/>
      <c r="I16" s="3">
        <v>11</v>
      </c>
      <c r="J16" s="1" t="s">
        <v>121</v>
      </c>
      <c r="K16" s="1">
        <f>+SUM(K14:K15)</f>
        <v>-563000</v>
      </c>
      <c r="L16" s="1">
        <f>-L15</f>
        <v>-14075</v>
      </c>
      <c r="M16" s="1">
        <f>-M15</f>
        <v>-14426.875</v>
      </c>
      <c r="N16" s="1">
        <f>-N15</f>
        <v>-14787.546875</v>
      </c>
      <c r="O16" s="1">
        <f>-O15</f>
        <v>-15157.23554687493</v>
      </c>
      <c r="P16" s="1">
        <f>-SUM(K16:O16)</f>
        <v>621446.65742187493</v>
      </c>
    </row>
    <row r="17" spans="3:16" x14ac:dyDescent="0.4">
      <c r="I17" s="3">
        <v>20</v>
      </c>
      <c r="J17" s="26" t="s">
        <v>92</v>
      </c>
      <c r="K17" s="26">
        <f t="shared" ref="K17:P17" si="5">+SUM(K8:K9) +SUM(K12:K13)+K16</f>
        <v>-5563000</v>
      </c>
      <c r="L17" s="26">
        <f t="shared" si="5"/>
        <v>1892325</v>
      </c>
      <c r="M17" s="26">
        <f t="shared" si="5"/>
        <v>1939633.1249999998</v>
      </c>
      <c r="N17" s="26">
        <f t="shared" si="5"/>
        <v>1988123.953125</v>
      </c>
      <c r="O17" s="26">
        <f t="shared" si="5"/>
        <v>2037827.0519531248</v>
      </c>
      <c r="P17" s="26">
        <f t="shared" si="5"/>
        <v>4364155.5521093756</v>
      </c>
    </row>
    <row r="18" spans="3:16" x14ac:dyDescent="0.4">
      <c r="C18" s="2" t="s">
        <v>60</v>
      </c>
      <c r="D18" s="2"/>
    </row>
    <row r="19" spans="3:16" x14ac:dyDescent="0.4">
      <c r="C19" s="1" t="s">
        <v>61</v>
      </c>
      <c r="D19" s="27" t="s">
        <v>62</v>
      </c>
    </row>
    <row r="20" spans="3:16" ht="16.5" thickBot="1" x14ac:dyDescent="0.45">
      <c r="C20" s="1" t="s">
        <v>2</v>
      </c>
      <c r="D20" s="10">
        <v>0.2</v>
      </c>
      <c r="I20" s="17" t="str">
        <f>+I7</f>
        <v>Linje</v>
      </c>
      <c r="J20" s="17" t="str">
        <f t="shared" ref="J20:P20" si="6">+J7</f>
        <v>År</v>
      </c>
      <c r="K20" s="18">
        <f t="shared" si="6"/>
        <v>2025</v>
      </c>
      <c r="L20" s="18">
        <f t="shared" si="6"/>
        <v>2026</v>
      </c>
      <c r="M20" s="18">
        <f t="shared" si="6"/>
        <v>2027</v>
      </c>
      <c r="N20" s="18">
        <f t="shared" si="6"/>
        <v>2028</v>
      </c>
      <c r="O20" s="18">
        <f t="shared" si="6"/>
        <v>2029</v>
      </c>
      <c r="P20" s="18">
        <f t="shared" si="6"/>
        <v>2030</v>
      </c>
    </row>
    <row r="21" spans="3:16" x14ac:dyDescent="0.4">
      <c r="C21" s="3" t="s">
        <v>0</v>
      </c>
      <c r="D21" s="3">
        <f>+$D$14*(1-$D$20)^$D$9</f>
        <v>1638400.0000000009</v>
      </c>
      <c r="I21" s="1" t="s">
        <v>117</v>
      </c>
      <c r="J21" s="44" t="s">
        <v>118</v>
      </c>
      <c r="K21" s="44">
        <f>+SUM(K8:K9)</f>
        <v>-5000000</v>
      </c>
      <c r="L21" s="44"/>
      <c r="M21" s="44"/>
      <c r="N21" s="44"/>
      <c r="O21" s="44"/>
      <c r="P21" s="44">
        <f t="shared" ref="P21" si="7">+SUM(P8:P9)</f>
        <v>1638400.0000000009</v>
      </c>
    </row>
    <row r="22" spans="3:16" x14ac:dyDescent="0.4">
      <c r="I22" s="1" t="s">
        <v>120</v>
      </c>
      <c r="J22" s="1" t="s">
        <v>119</v>
      </c>
      <c r="L22" s="1">
        <f t="shared" ref="L22:P22" si="8">+SUM(L12:L13)</f>
        <v>1906400</v>
      </c>
      <c r="M22" s="1">
        <f t="shared" si="8"/>
        <v>1954059.9999999998</v>
      </c>
      <c r="N22" s="1">
        <f t="shared" si="8"/>
        <v>2002911.5</v>
      </c>
      <c r="O22" s="1">
        <f t="shared" si="8"/>
        <v>2052984.2874999996</v>
      </c>
      <c r="P22" s="1">
        <f t="shared" si="8"/>
        <v>2104308.8946874994</v>
      </c>
    </row>
    <row r="23" spans="3:16" x14ac:dyDescent="0.4">
      <c r="C23" s="2" t="s">
        <v>21</v>
      </c>
      <c r="D23" s="2"/>
      <c r="I23" s="45">
        <v>11</v>
      </c>
      <c r="J23" s="44" t="s">
        <v>121</v>
      </c>
      <c r="K23" s="44">
        <f t="shared" ref="K23:P23" si="9">+K16</f>
        <v>-563000</v>
      </c>
      <c r="L23" s="44">
        <f t="shared" si="9"/>
        <v>-14075</v>
      </c>
      <c r="M23" s="44">
        <f t="shared" si="9"/>
        <v>-14426.875</v>
      </c>
      <c r="N23" s="44">
        <f t="shared" si="9"/>
        <v>-14787.546875</v>
      </c>
      <c r="O23" s="44">
        <f t="shared" si="9"/>
        <v>-15157.23554687493</v>
      </c>
      <c r="P23" s="44">
        <f t="shared" si="9"/>
        <v>621446.65742187493</v>
      </c>
    </row>
    <row r="24" spans="3:16" x14ac:dyDescent="0.4">
      <c r="C24" s="1" t="s">
        <v>22</v>
      </c>
      <c r="D24" s="8">
        <v>10000</v>
      </c>
      <c r="I24" s="45">
        <v>12</v>
      </c>
      <c r="J24" s="44" t="str">
        <f>+_xlfn.CONCAT("Avskrivninger (",100*$D$20,"%)")</f>
        <v>Avskrivninger (20%)</v>
      </c>
      <c r="K24" s="44"/>
      <c r="L24" s="44">
        <f>+ABS($K$8)*(1-$D$20)^K$6*$D$20</f>
        <v>1000000</v>
      </c>
      <c r="M24" s="44">
        <f t="shared" ref="M24:P24" si="10">+ABS($K$8)*(1-$D$20)^L$6*$D$20</f>
        <v>800000</v>
      </c>
      <c r="N24" s="44">
        <f t="shared" si="10"/>
        <v>640000.00000000012</v>
      </c>
      <c r="O24" s="44">
        <f t="shared" si="10"/>
        <v>512000.00000000012</v>
      </c>
      <c r="P24" s="44">
        <f t="shared" si="10"/>
        <v>409600.00000000023</v>
      </c>
    </row>
    <row r="25" spans="3:16" x14ac:dyDescent="0.4">
      <c r="C25" s="1" t="s">
        <v>23</v>
      </c>
      <c r="D25" s="10">
        <v>0</v>
      </c>
      <c r="I25" s="46">
        <v>13</v>
      </c>
      <c r="J25" s="1" t="s">
        <v>122</v>
      </c>
      <c r="K25" s="1">
        <f>+$D$61</f>
        <v>2000000</v>
      </c>
      <c r="L25" s="1">
        <f>-$D$61/$D$63</f>
        <v>-400000</v>
      </c>
      <c r="M25" s="1">
        <f t="shared" ref="M25:P25" si="11">-$D$61/$D$63</f>
        <v>-400000</v>
      </c>
      <c r="N25" s="1">
        <f t="shared" si="11"/>
        <v>-400000</v>
      </c>
      <c r="O25" s="1">
        <f t="shared" si="11"/>
        <v>-400000</v>
      </c>
      <c r="P25" s="1">
        <f t="shared" si="11"/>
        <v>-400000</v>
      </c>
    </row>
    <row r="26" spans="3:16" x14ac:dyDescent="0.4">
      <c r="C26" s="1" t="s">
        <v>39</v>
      </c>
      <c r="D26" s="10">
        <v>0</v>
      </c>
      <c r="I26" s="46">
        <v>14</v>
      </c>
      <c r="J26" s="1" t="s">
        <v>83</v>
      </c>
      <c r="L26" s="1">
        <f>-K25*$D$62</f>
        <v>-100000</v>
      </c>
      <c r="M26" s="1">
        <f>-SUM($K$25:L25)*$D$62</f>
        <v>-80000</v>
      </c>
      <c r="N26" s="1">
        <f>-SUM($K$25:M25)*$D$62</f>
        <v>-60000</v>
      </c>
      <c r="O26" s="1">
        <f>-SUM($K$25:N25)*$D$62</f>
        <v>-40000</v>
      </c>
      <c r="P26" s="1">
        <f>-SUM($K$25:O25)*$D$62</f>
        <v>-20000</v>
      </c>
    </row>
    <row r="27" spans="3:16" x14ac:dyDescent="0.4">
      <c r="C27" s="3" t="s">
        <v>40</v>
      </c>
      <c r="D27" s="21">
        <v>0</v>
      </c>
      <c r="I27" s="46">
        <v>15</v>
      </c>
      <c r="J27" s="1" t="s">
        <v>76</v>
      </c>
      <c r="L27" s="1">
        <f>+L22-L24+L26</f>
        <v>806400</v>
      </c>
      <c r="M27" s="1">
        <f t="shared" ref="M27:P27" si="12">+M22-M24+M26</f>
        <v>1074059.9999999998</v>
      </c>
      <c r="N27" s="1">
        <f t="shared" si="12"/>
        <v>1302911.5</v>
      </c>
      <c r="O27" s="1">
        <f t="shared" si="12"/>
        <v>1500984.2874999996</v>
      </c>
      <c r="P27" s="1">
        <f t="shared" si="12"/>
        <v>1674708.8946874992</v>
      </c>
    </row>
    <row r="28" spans="3:16" x14ac:dyDescent="0.4">
      <c r="I28" s="47">
        <v>16</v>
      </c>
      <c r="J28" s="3" t="str">
        <f>+_xlfn.CONCAT("Skatt (",$D$67*100,"%)")</f>
        <v>Skatt (22%)</v>
      </c>
      <c r="K28" s="3"/>
      <c r="L28" s="3">
        <f>-L27*$D$67</f>
        <v>-177408</v>
      </c>
      <c r="M28" s="3">
        <f t="shared" ref="M28:P28" si="13">-M27*$D$67</f>
        <v>-236293.19999999995</v>
      </c>
      <c r="N28" s="3">
        <f t="shared" si="13"/>
        <v>-286640.53000000003</v>
      </c>
      <c r="O28" s="3">
        <f t="shared" si="13"/>
        <v>-330216.54324999993</v>
      </c>
      <c r="P28" s="3">
        <f t="shared" si="13"/>
        <v>-368435.95683124982</v>
      </c>
    </row>
    <row r="29" spans="3:16" x14ac:dyDescent="0.4">
      <c r="C29" s="2" t="s">
        <v>11</v>
      </c>
      <c r="D29" s="2" t="s">
        <v>17</v>
      </c>
      <c r="E29" s="2" t="s">
        <v>18</v>
      </c>
      <c r="I29" s="46">
        <v>17</v>
      </c>
      <c r="J29" s="1" t="s">
        <v>123</v>
      </c>
      <c r="K29" s="1">
        <f>+SUM(K21:K25)</f>
        <v>-3563000</v>
      </c>
      <c r="L29" s="1">
        <f>+L22+L23+L25+L26+L28</f>
        <v>1214917</v>
      </c>
      <c r="M29" s="1">
        <f t="shared" ref="M29:O29" si="14">+M22+M23+M25+M26+M28</f>
        <v>1223339.9249999998</v>
      </c>
      <c r="N29" s="1">
        <f t="shared" si="14"/>
        <v>1241483.423125</v>
      </c>
      <c r="O29" s="1">
        <f t="shared" si="14"/>
        <v>1267610.5087031249</v>
      </c>
      <c r="P29" s="1">
        <f>+P22+P23+P25+P26+P28+P21</f>
        <v>3575719.5952781253</v>
      </c>
    </row>
    <row r="30" spans="3:16" ht="16.5" thickBot="1" x14ac:dyDescent="0.45">
      <c r="C30" s="1" t="s">
        <v>12</v>
      </c>
      <c r="D30" s="8">
        <v>600</v>
      </c>
      <c r="E30" s="7">
        <f>+D30/$D$30</f>
        <v>1</v>
      </c>
      <c r="I30" s="48">
        <v>18</v>
      </c>
      <c r="J30" s="4" t="s">
        <v>124</v>
      </c>
      <c r="K30" s="4">
        <f>+K29</f>
        <v>-3563000</v>
      </c>
      <c r="L30" s="4">
        <f>+L29/(1+$D$10)^L$6</f>
        <v>1185284.8780487806</v>
      </c>
      <c r="M30" s="4">
        <f t="shared" ref="M30:P30" si="15">+M29/(1+$D$10)^M$6</f>
        <v>1164392.5520523498</v>
      </c>
      <c r="N30" s="4">
        <f t="shared" si="15"/>
        <v>1152840.7753805083</v>
      </c>
      <c r="O30" s="4">
        <f t="shared" si="15"/>
        <v>1148392.5577145414</v>
      </c>
      <c r="P30" s="4">
        <f t="shared" si="15"/>
        <v>3160415.0955759385</v>
      </c>
    </row>
    <row r="31" spans="3:16" x14ac:dyDescent="0.4">
      <c r="C31" s="1" t="s">
        <v>13</v>
      </c>
      <c r="D31" s="8">
        <v>200</v>
      </c>
      <c r="E31" s="7">
        <f>+D31/$D$30</f>
        <v>0.33333333333333331</v>
      </c>
    </row>
    <row r="32" spans="3:16" x14ac:dyDescent="0.4">
      <c r="C32" s="1" t="s">
        <v>14</v>
      </c>
      <c r="D32" s="8">
        <v>180</v>
      </c>
      <c r="E32" s="7">
        <f>+D32/$D$30</f>
        <v>0.3</v>
      </c>
    </row>
    <row r="33" spans="3:6" x14ac:dyDescent="0.4">
      <c r="C33" s="3" t="s">
        <v>15</v>
      </c>
      <c r="D33" s="22">
        <v>20</v>
      </c>
      <c r="E33" s="20">
        <f>+D33/$D$30</f>
        <v>3.3333333333333333E-2</v>
      </c>
    </row>
    <row r="34" spans="3:6" ht="16.5" thickBot="1" x14ac:dyDescent="0.45">
      <c r="C34" s="11" t="s">
        <v>16</v>
      </c>
      <c r="D34" s="11">
        <f>+D30-SUM(D31:D33)</f>
        <v>200</v>
      </c>
      <c r="E34" s="12">
        <f>+D34/$D$30</f>
        <v>0.33333333333333331</v>
      </c>
    </row>
    <row r="36" spans="3:6" x14ac:dyDescent="0.4">
      <c r="C36" s="2" t="s">
        <v>63</v>
      </c>
      <c r="D36" s="2"/>
    </row>
    <row r="37" spans="3:6" x14ac:dyDescent="0.4">
      <c r="C37" s="1" t="s">
        <v>64</v>
      </c>
      <c r="D37" s="8">
        <v>7800</v>
      </c>
    </row>
    <row r="38" spans="3:6" x14ac:dyDescent="0.4">
      <c r="C38" s="1" t="s">
        <v>65</v>
      </c>
      <c r="D38" s="8">
        <v>12</v>
      </c>
    </row>
    <row r="39" spans="3:6" ht="16.5" thickBot="1" x14ac:dyDescent="0.45">
      <c r="C39" s="11" t="s">
        <v>66</v>
      </c>
      <c r="D39" s="11">
        <f>+D37*D38</f>
        <v>93600</v>
      </c>
    </row>
    <row r="42" spans="3:6" x14ac:dyDescent="0.4">
      <c r="C42" s="2" t="s">
        <v>27</v>
      </c>
      <c r="D42" s="2" t="s">
        <v>32</v>
      </c>
      <c r="E42" s="2" t="s">
        <v>35</v>
      </c>
      <c r="F42" s="2" t="s">
        <v>36</v>
      </c>
    </row>
    <row r="43" spans="3:6" x14ac:dyDescent="0.4">
      <c r="C43" s="1" t="s">
        <v>29</v>
      </c>
      <c r="D43" s="8">
        <v>20</v>
      </c>
      <c r="E43" s="1">
        <f>+(D31+D32)*D24*(D43/D11)</f>
        <v>211111.11111111109</v>
      </c>
      <c r="F43" s="6" t="s">
        <v>37</v>
      </c>
    </row>
    <row r="44" spans="3:6" x14ac:dyDescent="0.4">
      <c r="C44" s="1" t="s">
        <v>28</v>
      </c>
      <c r="D44" s="8">
        <v>30</v>
      </c>
      <c r="E44" s="1">
        <f>+(D31+D32)*D24*(D44/D11)</f>
        <v>316666.66666666663</v>
      </c>
      <c r="F44" s="6" t="s">
        <v>37</v>
      </c>
    </row>
    <row r="45" spans="3:6" x14ac:dyDescent="0.4">
      <c r="C45" s="1" t="s">
        <v>30</v>
      </c>
      <c r="D45" s="8">
        <v>40</v>
      </c>
      <c r="E45" s="1">
        <f>+D33*D24*(D45/D11)</f>
        <v>22222.222222222223</v>
      </c>
      <c r="F45" s="6" t="s">
        <v>37</v>
      </c>
    </row>
    <row r="46" spans="3:6" x14ac:dyDescent="0.4">
      <c r="C46" s="1" t="s">
        <v>31</v>
      </c>
      <c r="D46" s="8">
        <v>50</v>
      </c>
      <c r="E46" s="1">
        <f>+D37*12*D46/D11</f>
        <v>13000</v>
      </c>
      <c r="F46" s="6" t="s">
        <v>38</v>
      </c>
    </row>
    <row r="47" spans="3:6" ht="16.5" thickBot="1" x14ac:dyDescent="0.45">
      <c r="C47" s="11" t="s">
        <v>34</v>
      </c>
      <c r="D47" s="11"/>
      <c r="E47" s="11">
        <f>+SUM(E43:E46)</f>
        <v>563000</v>
      </c>
      <c r="F47" s="11"/>
    </row>
    <row r="49" spans="3:5" x14ac:dyDescent="0.4">
      <c r="C49" s="2" t="s">
        <v>45</v>
      </c>
      <c r="D49" s="2"/>
      <c r="E49" s="2"/>
    </row>
    <row r="50" spans="3:5" x14ac:dyDescent="0.4">
      <c r="C50" s="6" t="s">
        <v>58</v>
      </c>
      <c r="D50" s="6" t="s">
        <v>22</v>
      </c>
      <c r="E50" s="6" t="s">
        <v>73</v>
      </c>
    </row>
    <row r="51" spans="3:5" x14ac:dyDescent="0.4">
      <c r="C51" s="1" t="s">
        <v>53</v>
      </c>
      <c r="D51" s="8">
        <v>0</v>
      </c>
      <c r="E51" s="8">
        <v>0</v>
      </c>
    </row>
    <row r="52" spans="3:5" x14ac:dyDescent="0.4">
      <c r="C52" s="1" t="s">
        <v>46</v>
      </c>
      <c r="D52" s="10">
        <v>0.3</v>
      </c>
    </row>
    <row r="53" spans="3:5" x14ac:dyDescent="0.4">
      <c r="C53" s="3" t="s">
        <v>50</v>
      </c>
      <c r="D53" s="21">
        <v>0.15</v>
      </c>
      <c r="E53" s="21"/>
    </row>
    <row r="54" spans="3:5" x14ac:dyDescent="0.4">
      <c r="C54" s="6" t="s">
        <v>59</v>
      </c>
    </row>
    <row r="55" spans="3:5" x14ac:dyDescent="0.4">
      <c r="C55" s="1" t="s">
        <v>54</v>
      </c>
      <c r="D55" s="8">
        <v>0</v>
      </c>
    </row>
    <row r="56" spans="3:5" x14ac:dyDescent="0.4">
      <c r="C56" s="1" t="s">
        <v>46</v>
      </c>
      <c r="D56" s="10">
        <v>0.4</v>
      </c>
    </row>
    <row r="57" spans="3:5" x14ac:dyDescent="0.4">
      <c r="C57" s="3" t="s">
        <v>50</v>
      </c>
      <c r="D57" s="21">
        <v>0.1</v>
      </c>
    </row>
    <row r="59" spans="3:5" x14ac:dyDescent="0.4">
      <c r="C59" s="2" t="s">
        <v>78</v>
      </c>
      <c r="D59" s="2"/>
    </row>
    <row r="60" spans="3:5" x14ac:dyDescent="0.4">
      <c r="C60" s="1" t="s">
        <v>81</v>
      </c>
      <c r="D60" s="27" t="s">
        <v>112</v>
      </c>
    </row>
    <row r="61" spans="3:5" x14ac:dyDescent="0.4">
      <c r="C61" s="1" t="s">
        <v>79</v>
      </c>
      <c r="D61" s="8">
        <v>2000000</v>
      </c>
    </row>
    <row r="62" spans="3:5" x14ac:dyDescent="0.4">
      <c r="C62" s="1" t="s">
        <v>80</v>
      </c>
      <c r="D62" s="10">
        <v>0.05</v>
      </c>
    </row>
    <row r="63" spans="3:5" x14ac:dyDescent="0.4">
      <c r="C63" s="3" t="s">
        <v>82</v>
      </c>
      <c r="D63" s="3">
        <f>+D9</f>
        <v>5</v>
      </c>
    </row>
    <row r="65" spans="3:4" x14ac:dyDescent="0.4">
      <c r="C65" s="2" t="s">
        <v>69</v>
      </c>
      <c r="D65" s="2"/>
    </row>
    <row r="66" spans="3:4" x14ac:dyDescent="0.4">
      <c r="C66" s="1" t="s">
        <v>71</v>
      </c>
      <c r="D66" s="24">
        <v>9.5000000000000001E-2</v>
      </c>
    </row>
    <row r="67" spans="3:4" x14ac:dyDescent="0.4">
      <c r="C67" s="1" t="s">
        <v>70</v>
      </c>
      <c r="D67" s="10">
        <v>0.22</v>
      </c>
    </row>
    <row r="68" spans="3:4" x14ac:dyDescent="0.4">
      <c r="C68" s="1" t="s">
        <v>72</v>
      </c>
      <c r="D68" s="10">
        <v>0.09</v>
      </c>
    </row>
    <row r="69" spans="3:4" x14ac:dyDescent="0.4">
      <c r="C69" s="28" t="s">
        <v>100</v>
      </c>
    </row>
    <row r="70" spans="3:4" x14ac:dyDescent="0.4">
      <c r="C70" s="1" t="s">
        <v>102</v>
      </c>
      <c r="D70" s="7">
        <f>+D61/D16</f>
        <v>0.4</v>
      </c>
    </row>
    <row r="71" spans="3:4" x14ac:dyDescent="0.4">
      <c r="C71" s="1" t="s">
        <v>101</v>
      </c>
      <c r="D71" s="7">
        <f>1-D70</f>
        <v>0.6</v>
      </c>
    </row>
    <row r="72" spans="3:4" x14ac:dyDescent="0.4">
      <c r="C72" s="1" t="s">
        <v>103</v>
      </c>
      <c r="D72" s="25">
        <f>+$D$66+($D$66-$D$62)*$D$61/($D$16-$D$61)</f>
        <v>0.125</v>
      </c>
    </row>
    <row r="73" spans="3:4" x14ac:dyDescent="0.4">
      <c r="C73" s="3" t="s">
        <v>104</v>
      </c>
      <c r="D73" s="34">
        <f>+D72*(1-D67)</f>
        <v>9.7500000000000003E-2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8F014-02E6-41BB-A492-30884E9FA589}">
  <dimension ref="A1:CR100"/>
  <sheetViews>
    <sheetView showGridLines="0" topLeftCell="H30" workbookViewId="0">
      <selection activeCell="U11" sqref="U11"/>
    </sheetView>
  </sheetViews>
  <sheetFormatPr defaultColWidth="9.1796875" defaultRowHeight="16" x14ac:dyDescent="0.4"/>
  <cols>
    <col min="1" max="2" width="9.1796875" style="1"/>
    <col min="3" max="3" width="41.453125" style="1" bestFit="1" customWidth="1"/>
    <col min="4" max="4" width="16.1796875" style="1" bestFit="1" customWidth="1"/>
    <col min="5" max="5" width="10.1796875" style="1" bestFit="1" customWidth="1"/>
    <col min="6" max="6" width="23" style="1" bestFit="1" customWidth="1"/>
    <col min="7" max="8" width="9.1796875" style="1"/>
    <col min="9" max="9" width="28.81640625" style="1" customWidth="1"/>
    <col min="10" max="10" width="39.453125" style="1" bestFit="1" customWidth="1"/>
    <col min="11" max="11" width="12.26953125" style="1" bestFit="1" customWidth="1"/>
    <col min="12" max="16" width="11.453125" style="1" bestFit="1" customWidth="1"/>
    <col min="17" max="17" width="11.08984375" style="1" bestFit="1" customWidth="1"/>
    <col min="18" max="18" width="10.1796875" style="1" bestFit="1" customWidth="1"/>
    <col min="19" max="19" width="9.1796875" style="1"/>
    <col min="20" max="20" width="12.26953125" style="1" bestFit="1" customWidth="1"/>
    <col min="21" max="21" width="11" style="1" bestFit="1" customWidth="1"/>
    <col min="22" max="16384" width="9.1796875" style="1"/>
  </cols>
  <sheetData>
    <row r="1" spans="1:96" ht="21" x14ac:dyDescent="0.5">
      <c r="A1" s="36" t="s">
        <v>105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</row>
    <row r="2" spans="1:96" x14ac:dyDescent="0.4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</row>
    <row r="4" spans="1:96" ht="18.5" x14ac:dyDescent="0.45">
      <c r="A4" s="38" t="s">
        <v>107</v>
      </c>
      <c r="B4" s="37"/>
      <c r="C4" s="37"/>
      <c r="D4" s="37"/>
      <c r="E4" s="37"/>
      <c r="F4" s="37"/>
      <c r="G4" s="37"/>
      <c r="I4" s="38" t="s">
        <v>106</v>
      </c>
      <c r="J4" s="37"/>
      <c r="K4" s="37"/>
      <c r="L4" s="37"/>
      <c r="M4" s="37"/>
      <c r="N4" s="37"/>
      <c r="O4" s="37"/>
      <c r="P4" s="37"/>
      <c r="Q4" s="37"/>
    </row>
    <row r="5" spans="1:96" x14ac:dyDescent="0.4">
      <c r="A5" s="37"/>
      <c r="B5" s="37"/>
      <c r="C5" s="37"/>
      <c r="D5" s="37"/>
      <c r="E5" s="37"/>
      <c r="F5" s="37"/>
      <c r="G5" s="37"/>
      <c r="I5" s="37"/>
      <c r="J5" s="37"/>
      <c r="K5" s="37"/>
      <c r="L5" s="37"/>
      <c r="M5" s="37"/>
      <c r="N5" s="37"/>
      <c r="O5" s="37"/>
      <c r="P5" s="37"/>
      <c r="Q5" s="37"/>
    </row>
    <row r="6" spans="1:96" x14ac:dyDescent="0.4">
      <c r="C6" s="2" t="s">
        <v>10</v>
      </c>
      <c r="D6" s="2"/>
      <c r="J6" s="15" t="s">
        <v>9</v>
      </c>
      <c r="K6" s="15">
        <f t="shared" ref="K6:P6" si="0">+K7-$D$8</f>
        <v>0</v>
      </c>
      <c r="L6" s="15">
        <f t="shared" si="0"/>
        <v>1</v>
      </c>
      <c r="M6" s="15">
        <f t="shared" si="0"/>
        <v>2</v>
      </c>
      <c r="N6" s="15">
        <f t="shared" si="0"/>
        <v>3</v>
      </c>
      <c r="O6" s="15">
        <f t="shared" si="0"/>
        <v>4</v>
      </c>
      <c r="P6" s="15">
        <f t="shared" si="0"/>
        <v>5</v>
      </c>
    </row>
    <row r="7" spans="1:96" ht="16.5" thickBot="1" x14ac:dyDescent="0.45">
      <c r="C7" s="1" t="s">
        <v>67</v>
      </c>
      <c r="D7" s="27" t="s">
        <v>68</v>
      </c>
      <c r="I7" s="17" t="s">
        <v>111</v>
      </c>
      <c r="J7" s="17" t="s">
        <v>7</v>
      </c>
      <c r="K7" s="18" cm="1">
        <f t="array" ref="K7:P7">+TRANSPOSE(_xlfn.SEQUENCE(D9+1,1,D8,1))</f>
        <v>2025</v>
      </c>
      <c r="L7" s="18">
        <v>2026</v>
      </c>
      <c r="M7" s="18">
        <v>2027</v>
      </c>
      <c r="N7" s="18">
        <v>2028</v>
      </c>
      <c r="O7" s="18">
        <v>2029</v>
      </c>
      <c r="P7" s="18">
        <v>2030</v>
      </c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</row>
    <row r="8" spans="1:96" x14ac:dyDescent="0.4">
      <c r="C8" s="1" t="s">
        <v>8</v>
      </c>
      <c r="D8" s="9">
        <v>2025</v>
      </c>
      <c r="I8" s="1">
        <v>1</v>
      </c>
      <c r="J8" s="1" t="s">
        <v>125</v>
      </c>
      <c r="K8" s="1">
        <f>-D15</f>
        <v>-5000000</v>
      </c>
      <c r="P8" s="49">
        <f>+$D$20</f>
        <v>1638400.0000000009</v>
      </c>
      <c r="T8" s="1" t="s">
        <v>139</v>
      </c>
      <c r="U8" s="1" t="s">
        <v>98</v>
      </c>
    </row>
    <row r="9" spans="1:96" x14ac:dyDescent="0.4">
      <c r="C9" s="1" t="s">
        <v>1</v>
      </c>
      <c r="D9" s="8">
        <v>5</v>
      </c>
      <c r="I9" s="3">
        <v>2</v>
      </c>
      <c r="J9" s="3" t="s">
        <v>0</v>
      </c>
      <c r="K9" s="3"/>
      <c r="L9" s="3"/>
      <c r="M9" s="3"/>
      <c r="N9" s="3"/>
      <c r="O9" s="3"/>
      <c r="P9" s="3"/>
      <c r="T9" s="1" t="s">
        <v>136</v>
      </c>
      <c r="U9" s="1">
        <v>-2794986.2772165523</v>
      </c>
    </row>
    <row r="10" spans="1:96" x14ac:dyDescent="0.4">
      <c r="C10" s="3" t="s">
        <v>33</v>
      </c>
      <c r="D10" s="22">
        <v>360</v>
      </c>
      <c r="I10" s="15">
        <v>3</v>
      </c>
      <c r="J10" s="13" t="s">
        <v>41</v>
      </c>
      <c r="K10" s="14">
        <v>0</v>
      </c>
      <c r="L10" s="14">
        <v>0</v>
      </c>
      <c r="M10" s="14">
        <v>0</v>
      </c>
      <c r="N10" s="14" cm="1">
        <f t="array" ref="N10:P10">+TRANSPOSE(D24:D26)</f>
        <v>0.1</v>
      </c>
      <c r="O10" s="14">
        <v>0.1</v>
      </c>
      <c r="P10" s="14">
        <v>0</v>
      </c>
      <c r="T10" s="1" t="s">
        <v>137</v>
      </c>
      <c r="U10" s="1">
        <v>3514243.5982067571</v>
      </c>
    </row>
    <row r="11" spans="1:96" x14ac:dyDescent="0.4">
      <c r="I11" s="15">
        <v>4</v>
      </c>
      <c r="J11" s="15" t="s">
        <v>24</v>
      </c>
      <c r="K11" s="15">
        <v>0</v>
      </c>
      <c r="L11" s="15">
        <f>+$D$23*(1+L10)</f>
        <v>7000</v>
      </c>
      <c r="M11" s="15">
        <f>+L$11*(1+M10)</f>
        <v>7000</v>
      </c>
      <c r="N11" s="15">
        <f>+M$11*(1+N10)</f>
        <v>7700.0000000000009</v>
      </c>
      <c r="O11" s="15">
        <f>+N$11*(1+O10)</f>
        <v>8470.0000000000018</v>
      </c>
      <c r="P11" s="15">
        <f>+O$11*(1+P10)</f>
        <v>8470.0000000000018</v>
      </c>
      <c r="T11" s="1" t="s">
        <v>138</v>
      </c>
      <c r="U11" s="1">
        <v>9098603.5231191833</v>
      </c>
    </row>
    <row r="12" spans="1:96" x14ac:dyDescent="0.4">
      <c r="C12" s="2" t="s">
        <v>3</v>
      </c>
      <c r="D12" s="2" t="s">
        <v>108</v>
      </c>
      <c r="E12" s="1" t="s">
        <v>109</v>
      </c>
      <c r="I12" s="16">
        <v>5</v>
      </c>
      <c r="J12" s="16" t="s">
        <v>25</v>
      </c>
      <c r="K12" s="16">
        <v>0</v>
      </c>
      <c r="L12" s="16">
        <f>+$D$33</f>
        <v>50</v>
      </c>
      <c r="M12" s="16">
        <f>+$D$33</f>
        <v>50</v>
      </c>
      <c r="N12" s="16">
        <f>+$D$33</f>
        <v>50</v>
      </c>
      <c r="O12" s="16">
        <f>+$D$33</f>
        <v>50</v>
      </c>
      <c r="P12" s="16">
        <f>+$D$33</f>
        <v>50</v>
      </c>
    </row>
    <row r="13" spans="1:96" x14ac:dyDescent="0.4">
      <c r="C13" s="1" t="s">
        <v>4</v>
      </c>
      <c r="D13" s="8">
        <v>5000000</v>
      </c>
      <c r="E13" s="8" t="s">
        <v>38</v>
      </c>
      <c r="I13" s="1">
        <v>6</v>
      </c>
      <c r="J13" s="1" t="s">
        <v>20</v>
      </c>
      <c r="K13" s="1">
        <v>0</v>
      </c>
      <c r="L13" s="1">
        <f>+L11*L12</f>
        <v>350000</v>
      </c>
      <c r="M13" s="1">
        <f t="shared" ref="M13:P13" si="1">+M11*M12</f>
        <v>350000</v>
      </c>
      <c r="N13" s="1">
        <f t="shared" si="1"/>
        <v>385000.00000000006</v>
      </c>
      <c r="O13" s="1">
        <f t="shared" si="1"/>
        <v>423500.00000000012</v>
      </c>
      <c r="P13" s="1">
        <f t="shared" si="1"/>
        <v>423500.00000000012</v>
      </c>
    </row>
    <row r="14" spans="1:96" x14ac:dyDescent="0.4">
      <c r="C14" s="1" t="s">
        <v>5</v>
      </c>
      <c r="D14" s="8">
        <v>1000000</v>
      </c>
      <c r="E14" s="8" t="s">
        <v>37</v>
      </c>
      <c r="I14" s="3">
        <v>7</v>
      </c>
      <c r="J14" s="3" t="s">
        <v>19</v>
      </c>
      <c r="K14" s="3">
        <v>0</v>
      </c>
      <c r="L14" s="3">
        <f>-$D$38</f>
        <v>-102000</v>
      </c>
      <c r="M14" s="3">
        <f>-$D$38</f>
        <v>-102000</v>
      </c>
      <c r="N14" s="3">
        <f>-$D$38</f>
        <v>-102000</v>
      </c>
      <c r="O14" s="3">
        <f>-$D$38</f>
        <v>-102000</v>
      </c>
      <c r="P14" s="3">
        <f>-$D$38</f>
        <v>-102000</v>
      </c>
    </row>
    <row r="15" spans="1:96" ht="16.5" thickBot="1" x14ac:dyDescent="0.45">
      <c r="C15" s="4" t="s">
        <v>6</v>
      </c>
      <c r="D15" s="4">
        <f>+SUMIF($E$13:$E$14,"Nei",$D$13:$D$14)</f>
        <v>5000000</v>
      </c>
      <c r="E15" s="4"/>
      <c r="I15" s="15">
        <v>8</v>
      </c>
      <c r="J15" s="15" t="s">
        <v>42</v>
      </c>
      <c r="K15" s="15">
        <f>-SUMIF($F$42:$F$45,"Ja",$E$42:$E$45)</f>
        <v>-433611.11111111107</v>
      </c>
      <c r="L15" s="15">
        <f>+K15*(1+M10)</f>
        <v>-433611.11111111107</v>
      </c>
      <c r="M15" s="15">
        <f>+L15*(1+N10)</f>
        <v>-476972.22222222219</v>
      </c>
      <c r="N15" s="15">
        <f>+M15*(1+O10)</f>
        <v>-524669.4444444445</v>
      </c>
      <c r="O15" s="15">
        <f>+N15*(1+P10)</f>
        <v>-524669.4444444445</v>
      </c>
      <c r="P15" s="15">
        <v>0</v>
      </c>
    </row>
    <row r="16" spans="1:96" x14ac:dyDescent="0.4">
      <c r="I16" s="15">
        <v>9</v>
      </c>
      <c r="J16" s="15" t="s">
        <v>44</v>
      </c>
      <c r="K16" s="15">
        <v>0</v>
      </c>
      <c r="L16" s="15">
        <f>+K15-L15</f>
        <v>0</v>
      </c>
      <c r="M16" s="15">
        <f>+L15-M15</f>
        <v>43361.111111111124</v>
      </c>
      <c r="N16" s="15">
        <f>+M15-N15</f>
        <v>47697.222222222306</v>
      </c>
      <c r="O16" s="15">
        <v>0</v>
      </c>
      <c r="P16" s="15">
        <v>0</v>
      </c>
    </row>
    <row r="17" spans="3:16" x14ac:dyDescent="0.4">
      <c r="C17" s="2" t="s">
        <v>60</v>
      </c>
      <c r="D17" s="2"/>
      <c r="I17" s="16">
        <v>10</v>
      </c>
      <c r="J17" s="16" t="s">
        <v>43</v>
      </c>
      <c r="K17" s="16">
        <f>-E45</f>
        <v>-14166.666666666666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</row>
    <row r="18" spans="3:16" x14ac:dyDescent="0.4">
      <c r="C18" s="1" t="s">
        <v>61</v>
      </c>
      <c r="D18" s="27" t="s">
        <v>62</v>
      </c>
      <c r="I18" s="3">
        <v>11</v>
      </c>
      <c r="J18" s="19" t="s">
        <v>26</v>
      </c>
      <c r="K18" s="19">
        <f>+SUM(K15:K17)</f>
        <v>-447777.77777777775</v>
      </c>
      <c r="L18" s="19">
        <f>-L16</f>
        <v>0</v>
      </c>
      <c r="M18" s="19">
        <f t="shared" ref="M18:O18" si="2">-M16</f>
        <v>-43361.111111111124</v>
      </c>
      <c r="N18" s="19">
        <f t="shared" si="2"/>
        <v>-47697.222222222306</v>
      </c>
      <c r="O18" s="19">
        <f t="shared" si="2"/>
        <v>0</v>
      </c>
      <c r="P18" s="19">
        <f>-SUM(K18:O18)</f>
        <v>538836.11111111124</v>
      </c>
    </row>
    <row r="19" spans="3:16" x14ac:dyDescent="0.4">
      <c r="C19" s="1" t="s">
        <v>2</v>
      </c>
      <c r="D19" s="10">
        <v>0.2</v>
      </c>
      <c r="I19" s="3">
        <v>20</v>
      </c>
      <c r="J19" s="26" t="s">
        <v>92</v>
      </c>
      <c r="K19" s="26">
        <f>+SUM(K8:K9) +SUM(K13:K14)+K18</f>
        <v>-5447777.777777778</v>
      </c>
      <c r="L19" s="26">
        <f>+SUM(L8:L9) +SUM(L13:L14)+L18</f>
        <v>248000</v>
      </c>
      <c r="M19" s="26">
        <f>+SUM(M8:M9) +SUM(M13:M14)+M18</f>
        <v>204638.88888888888</v>
      </c>
      <c r="N19" s="26">
        <f>+SUM(N8:N9) +SUM(N13:N14)+N18</f>
        <v>235302.77777777775</v>
      </c>
      <c r="O19" s="26">
        <f>+SUM(O8:O9) +SUM(O13:O14)+O18</f>
        <v>321500.00000000012</v>
      </c>
      <c r="P19" s="26">
        <f>+SUM(P8:P8) +SUM(P13:P14)+P18</f>
        <v>2498736.1111111119</v>
      </c>
    </row>
    <row r="20" spans="3:16" x14ac:dyDescent="0.4">
      <c r="C20" s="3" t="s">
        <v>0</v>
      </c>
      <c r="D20" s="3">
        <f>+$D$13*(1-$D$19)^$D$9</f>
        <v>1638400.0000000009</v>
      </c>
    </row>
    <row r="21" spans="3:16" ht="16.5" thickBot="1" x14ac:dyDescent="0.45">
      <c r="I21" s="17" t="str">
        <f>+I7</f>
        <v>Linje</v>
      </c>
      <c r="J21" s="17" t="str">
        <f t="shared" ref="J21:P21" si="3">+J7</f>
        <v>År</v>
      </c>
      <c r="K21" s="18">
        <f t="shared" si="3"/>
        <v>2025</v>
      </c>
      <c r="L21" s="18">
        <f t="shared" si="3"/>
        <v>2026</v>
      </c>
      <c r="M21" s="18">
        <f t="shared" si="3"/>
        <v>2027</v>
      </c>
      <c r="N21" s="18">
        <f t="shared" si="3"/>
        <v>2028</v>
      </c>
      <c r="O21" s="18">
        <f t="shared" si="3"/>
        <v>2029</v>
      </c>
      <c r="P21" s="18">
        <f t="shared" si="3"/>
        <v>2030</v>
      </c>
    </row>
    <row r="22" spans="3:16" x14ac:dyDescent="0.4">
      <c r="C22" s="2" t="s">
        <v>21</v>
      </c>
      <c r="D22" s="2"/>
      <c r="I22" s="1">
        <v>1</v>
      </c>
      <c r="J22" s="1" t="s">
        <v>126</v>
      </c>
      <c r="L22" s="1">
        <f>+L11</f>
        <v>7000</v>
      </c>
      <c r="M22" s="1">
        <f t="shared" ref="M22:P22" si="4">+M11</f>
        <v>7000</v>
      </c>
      <c r="N22" s="1">
        <f t="shared" si="4"/>
        <v>7700.0000000000009</v>
      </c>
      <c r="O22" s="1">
        <f t="shared" si="4"/>
        <v>8470.0000000000018</v>
      </c>
      <c r="P22" s="1">
        <f t="shared" si="4"/>
        <v>8470.0000000000018</v>
      </c>
    </row>
    <row r="23" spans="3:16" x14ac:dyDescent="0.4">
      <c r="C23" s="1" t="s">
        <v>22</v>
      </c>
      <c r="D23" s="8">
        <v>7000</v>
      </c>
      <c r="I23" s="1">
        <f>+I22+1</f>
        <v>2</v>
      </c>
      <c r="J23" s="1" t="s">
        <v>127</v>
      </c>
      <c r="L23" s="1">
        <f>+$D$29</f>
        <v>500</v>
      </c>
      <c r="M23" s="1">
        <f t="shared" ref="M23:P23" si="5">+$D$29</f>
        <v>500</v>
      </c>
      <c r="N23" s="1">
        <f t="shared" si="5"/>
        <v>500</v>
      </c>
      <c r="O23" s="1">
        <f t="shared" si="5"/>
        <v>500</v>
      </c>
      <c r="P23" s="1">
        <f t="shared" si="5"/>
        <v>500</v>
      </c>
    </row>
    <row r="24" spans="3:16" x14ac:dyDescent="0.4">
      <c r="C24" s="1" t="s">
        <v>23</v>
      </c>
      <c r="D24" s="10">
        <v>0.1</v>
      </c>
      <c r="I24" s="1">
        <f t="shared" ref="I24:I29" si="6">+I23+1</f>
        <v>3</v>
      </c>
      <c r="J24" s="1" t="s">
        <v>128</v>
      </c>
      <c r="L24" s="1">
        <f>+SUM($D$30:$D$32)</f>
        <v>450</v>
      </c>
      <c r="M24" s="1">
        <f t="shared" ref="M24:P24" si="7">+SUM($D$30:$D$32)</f>
        <v>450</v>
      </c>
      <c r="N24" s="1">
        <f t="shared" si="7"/>
        <v>450</v>
      </c>
      <c r="O24" s="1">
        <f t="shared" si="7"/>
        <v>450</v>
      </c>
      <c r="P24" s="1">
        <f t="shared" si="7"/>
        <v>450</v>
      </c>
    </row>
    <row r="25" spans="3:16" x14ac:dyDescent="0.4">
      <c r="C25" s="1" t="s">
        <v>39</v>
      </c>
      <c r="D25" s="10">
        <v>0.1</v>
      </c>
      <c r="I25" s="1">
        <f t="shared" si="6"/>
        <v>4</v>
      </c>
      <c r="J25" s="1" t="str">
        <f>+J8</f>
        <v>Investering og skrapverdi</v>
      </c>
      <c r="K25" s="1">
        <f t="shared" ref="K25:P25" si="8">+K8</f>
        <v>-5000000</v>
      </c>
      <c r="L25" s="1">
        <f t="shared" si="8"/>
        <v>0</v>
      </c>
      <c r="M25" s="1">
        <f t="shared" si="8"/>
        <v>0</v>
      </c>
      <c r="N25" s="1">
        <f t="shared" si="8"/>
        <v>0</v>
      </c>
      <c r="O25" s="1">
        <f t="shared" si="8"/>
        <v>0</v>
      </c>
      <c r="P25" s="1">
        <f t="shared" si="8"/>
        <v>1638400.0000000009</v>
      </c>
    </row>
    <row r="26" spans="3:16" x14ac:dyDescent="0.4">
      <c r="C26" s="3" t="s">
        <v>40</v>
      </c>
      <c r="D26" s="21">
        <v>0</v>
      </c>
      <c r="I26" s="1">
        <f t="shared" si="6"/>
        <v>5</v>
      </c>
      <c r="J26" s="1" t="str">
        <f>+J13</f>
        <v>DB nytt produkt</v>
      </c>
      <c r="L26" s="1">
        <f t="shared" ref="L26:P26" si="9">+L22*(L23-L24)</f>
        <v>350000</v>
      </c>
      <c r="M26" s="1">
        <f t="shared" si="9"/>
        <v>350000</v>
      </c>
      <c r="N26" s="1">
        <f t="shared" si="9"/>
        <v>385000.00000000006</v>
      </c>
      <c r="O26" s="1">
        <f t="shared" si="9"/>
        <v>423500.00000000012</v>
      </c>
      <c r="P26" s="1">
        <f t="shared" si="9"/>
        <v>423500.00000000012</v>
      </c>
    </row>
    <row r="27" spans="3:16" x14ac:dyDescent="0.4">
      <c r="I27" s="1">
        <f t="shared" si="6"/>
        <v>6</v>
      </c>
      <c r="J27" s="1" t="str">
        <f>+J14</f>
        <v>Betalbare faste kostnader</v>
      </c>
      <c r="L27" s="1">
        <f>-$D$36*$D$37</f>
        <v>-102000</v>
      </c>
      <c r="M27" s="1">
        <f t="shared" ref="M27:P27" si="10">-$D$36*$D$37</f>
        <v>-102000</v>
      </c>
      <c r="N27" s="1">
        <f t="shared" si="10"/>
        <v>-102000</v>
      </c>
      <c r="O27" s="1">
        <f t="shared" si="10"/>
        <v>-102000</v>
      </c>
      <c r="P27" s="1">
        <f t="shared" si="10"/>
        <v>-102000</v>
      </c>
    </row>
    <row r="28" spans="3:16" x14ac:dyDescent="0.4">
      <c r="C28" s="2" t="s">
        <v>11</v>
      </c>
      <c r="D28" s="2" t="s">
        <v>17</v>
      </c>
      <c r="E28" s="2" t="s">
        <v>18</v>
      </c>
      <c r="I28" s="1">
        <f t="shared" si="6"/>
        <v>7</v>
      </c>
      <c r="J28" s="1" t="str">
        <f>+J18</f>
        <v>Arbeidskapital nytt produkt</v>
      </c>
      <c r="K28" s="1">
        <f t="shared" ref="K28:P28" si="11">+K18</f>
        <v>-447777.77777777775</v>
      </c>
      <c r="L28" s="1">
        <f t="shared" si="11"/>
        <v>0</v>
      </c>
      <c r="M28" s="1">
        <f t="shared" si="11"/>
        <v>-43361.111111111124</v>
      </c>
      <c r="N28" s="1">
        <f t="shared" si="11"/>
        <v>-47697.222222222306</v>
      </c>
      <c r="O28" s="1">
        <f t="shared" si="11"/>
        <v>0</v>
      </c>
      <c r="P28" s="1">
        <f t="shared" si="11"/>
        <v>538836.11111111124</v>
      </c>
    </row>
    <row r="29" spans="3:16" ht="16.5" thickBot="1" x14ac:dyDescent="0.45">
      <c r="C29" s="1" t="s">
        <v>12</v>
      </c>
      <c r="D29" s="8">
        <v>500</v>
      </c>
      <c r="E29" s="7">
        <f>+D29/$D$29</f>
        <v>1</v>
      </c>
      <c r="I29" s="11">
        <f t="shared" si="6"/>
        <v>8</v>
      </c>
      <c r="J29" s="11" t="str">
        <f>+J19</f>
        <v>Kontantstrøm totalkapital (TK)</v>
      </c>
      <c r="K29" s="11">
        <f>+SUM(K25:K28)</f>
        <v>-5447777.777777778</v>
      </c>
      <c r="L29" s="11">
        <f t="shared" ref="L29:P29" si="12">+SUM(L25:L28)</f>
        <v>248000</v>
      </c>
      <c r="M29" s="11">
        <f t="shared" si="12"/>
        <v>204638.88888888888</v>
      </c>
      <c r="N29" s="11">
        <f t="shared" si="12"/>
        <v>235302.77777777775</v>
      </c>
      <c r="O29" s="11">
        <f t="shared" si="12"/>
        <v>321500.00000000012</v>
      </c>
      <c r="P29" s="11">
        <f t="shared" si="12"/>
        <v>2498736.1111111119</v>
      </c>
    </row>
    <row r="30" spans="3:16" x14ac:dyDescent="0.4">
      <c r="C30" s="1" t="s">
        <v>13</v>
      </c>
      <c r="D30" s="8">
        <v>180</v>
      </c>
      <c r="E30" s="7">
        <f>+D30/$D$29</f>
        <v>0.36</v>
      </c>
    </row>
    <row r="31" spans="3:16" ht="16.5" thickBot="1" x14ac:dyDescent="0.45">
      <c r="C31" s="1" t="s">
        <v>14</v>
      </c>
      <c r="D31" s="8">
        <v>250</v>
      </c>
      <c r="E31" s="7">
        <f>+D31/$D$29</f>
        <v>0.5</v>
      </c>
      <c r="I31" s="4" t="s">
        <v>129</v>
      </c>
      <c r="J31" s="4"/>
    </row>
    <row r="32" spans="3:16" x14ac:dyDescent="0.4">
      <c r="C32" s="3" t="s">
        <v>15</v>
      </c>
      <c r="D32" s="22">
        <v>20</v>
      </c>
      <c r="E32" s="20">
        <f>+D32/$D$29</f>
        <v>0.04</v>
      </c>
      <c r="I32" s="50" t="s">
        <v>130</v>
      </c>
      <c r="J32" s="51">
        <f>+NPV($D$65,K29:P29)</f>
        <v>-2794986.2772165523</v>
      </c>
    </row>
    <row r="33" spans="3:17" ht="16.5" thickBot="1" x14ac:dyDescent="0.45">
      <c r="C33" s="11" t="s">
        <v>16</v>
      </c>
      <c r="D33" s="11">
        <f>+D29-SUM(D30:D32)</f>
        <v>50</v>
      </c>
      <c r="E33" s="12">
        <f>+D33/$D$29</f>
        <v>0.1</v>
      </c>
      <c r="I33" s="50" t="s">
        <v>99</v>
      </c>
      <c r="J33" s="52">
        <f>+IRR(K29:P29)</f>
        <v>-9.5415511177167733E-2</v>
      </c>
    </row>
    <row r="35" spans="3:17" x14ac:dyDescent="0.4">
      <c r="C35" s="2" t="s">
        <v>63</v>
      </c>
      <c r="D35" s="2"/>
      <c r="I35" s="7" t="s">
        <v>131</v>
      </c>
      <c r="J35" s="1" t="s">
        <v>132</v>
      </c>
      <c r="K35" s="1">
        <f>+$J$32</f>
        <v>-2794986.2772165523</v>
      </c>
      <c r="L35" s="1" t="s">
        <v>133</v>
      </c>
      <c r="M35" s="1">
        <f>+$J$32</f>
        <v>-2794986.2772165523</v>
      </c>
      <c r="N35" s="1" t="s">
        <v>134</v>
      </c>
      <c r="O35" s="1">
        <f>+$J$32</f>
        <v>-2794986.2772165523</v>
      </c>
      <c r="P35" s="1" t="s">
        <v>135</v>
      </c>
      <c r="Q35" s="1">
        <f>+$J$32</f>
        <v>-2794986.2772165523</v>
      </c>
    </row>
    <row r="36" spans="3:17" x14ac:dyDescent="0.4">
      <c r="C36" s="1" t="s">
        <v>64</v>
      </c>
      <c r="D36" s="8">
        <v>8500</v>
      </c>
      <c r="I36" s="7">
        <f t="shared" ref="I36:I49" si="13">+I37-0.05</f>
        <v>-0.75000000000000011</v>
      </c>
      <c r="J36" s="1">
        <f t="shared" ref="J36:J66" si="14">+$D$29*(1+$I36)</f>
        <v>124.99999999999994</v>
      </c>
      <c r="K36" s="1">
        <f t="dataTable" ref="K36:K66" dt2D="0" dtr="0" r1="L23" ca="1"/>
        <v>-4984265.0662326282</v>
      </c>
      <c r="L36" s="1">
        <f t="shared" ref="L36:L66" si="15">+$D$23*(1+$I36)</f>
        <v>1749.9999999999993</v>
      </c>
      <c r="M36" s="1">
        <f t="dataTable" ref="M36:M66" dt2D="0" dtr="0" r1="L22"/>
        <v>-3013914.1561181596</v>
      </c>
      <c r="N36" s="1">
        <f t="shared" ref="N36:N66" si="16">+SUM($D$30:$D$32)*(1+$I36)</f>
        <v>112.49999999999994</v>
      </c>
      <c r="O36" s="1">
        <f t="dataTable" ref="O36:O66" dt2D="0" dtr="0" r1="L24" ca="1"/>
        <v>-824635.36710208387</v>
      </c>
      <c r="P36" s="1">
        <f t="shared" ref="P36:P66" si="17">+$D$38*(1+$I36)</f>
        <v>25499.999999999989</v>
      </c>
      <c r="Q36" s="1">
        <f t="dataTable" ref="Q36:Q66" dt2D="0" dtr="0" r1="L27" ca="1"/>
        <v>-2688649.8788929139</v>
      </c>
    </row>
    <row r="37" spans="3:17" x14ac:dyDescent="0.4">
      <c r="C37" s="1" t="s">
        <v>65</v>
      </c>
      <c r="D37" s="8">
        <v>12</v>
      </c>
      <c r="I37" s="7">
        <f t="shared" si="13"/>
        <v>-0.70000000000000007</v>
      </c>
      <c r="J37" s="1">
        <f t="shared" si="14"/>
        <v>149.99999999999997</v>
      </c>
      <c r="K37" s="1">
        <v>-4838313.146964889</v>
      </c>
      <c r="L37" s="1">
        <f t="shared" si="15"/>
        <v>2099.9999999999995</v>
      </c>
      <c r="M37" s="1">
        <v>-2999318.964191386</v>
      </c>
      <c r="N37" s="1">
        <f t="shared" si="16"/>
        <v>134.99999999999997</v>
      </c>
      <c r="O37" s="1">
        <v>-955992.09444304893</v>
      </c>
      <c r="P37" s="1">
        <f t="shared" si="17"/>
        <v>30599.999999999993</v>
      </c>
      <c r="Q37" s="1">
        <v>-2684396.4229599689</v>
      </c>
    </row>
    <row r="38" spans="3:17" ht="16.5" thickBot="1" x14ac:dyDescent="0.45">
      <c r="C38" s="11" t="s">
        <v>66</v>
      </c>
      <c r="D38" s="11">
        <f>+D36*D37</f>
        <v>102000</v>
      </c>
      <c r="I38" s="7">
        <f t="shared" si="13"/>
        <v>-0.65</v>
      </c>
      <c r="J38" s="1">
        <f t="shared" si="14"/>
        <v>175</v>
      </c>
      <c r="K38" s="1">
        <v>-4692361.2276971508</v>
      </c>
      <c r="L38" s="1">
        <f t="shared" si="15"/>
        <v>2450</v>
      </c>
      <c r="M38" s="1">
        <v>-2984723.7722646124</v>
      </c>
      <c r="N38" s="1">
        <f t="shared" si="16"/>
        <v>157.5</v>
      </c>
      <c r="O38" s="1">
        <v>-1087348.8217840134</v>
      </c>
      <c r="P38" s="1">
        <f t="shared" si="17"/>
        <v>35700</v>
      </c>
      <c r="Q38" s="1">
        <v>-2680142.9670270234</v>
      </c>
    </row>
    <row r="39" spans="3:17" x14ac:dyDescent="0.4">
      <c r="I39" s="7">
        <f t="shared" si="13"/>
        <v>-0.6</v>
      </c>
      <c r="J39" s="1">
        <f t="shared" si="14"/>
        <v>200</v>
      </c>
      <c r="K39" s="1">
        <v>-4546409.3084294125</v>
      </c>
      <c r="L39" s="1">
        <f t="shared" si="15"/>
        <v>2800</v>
      </c>
      <c r="M39" s="1">
        <v>-2970128.5803378387</v>
      </c>
      <c r="N39" s="1">
        <f t="shared" si="16"/>
        <v>180</v>
      </c>
      <c r="O39" s="1">
        <v>-1218705.549124978</v>
      </c>
      <c r="P39" s="1">
        <f t="shared" si="17"/>
        <v>40800</v>
      </c>
      <c r="Q39" s="1">
        <v>-2675889.5110940784</v>
      </c>
    </row>
    <row r="40" spans="3:17" x14ac:dyDescent="0.4">
      <c r="I40" s="7">
        <f t="shared" si="13"/>
        <v>-0.54999999999999993</v>
      </c>
      <c r="J40" s="1">
        <f t="shared" si="14"/>
        <v>225.00000000000003</v>
      </c>
      <c r="K40" s="1">
        <v>-4400457.3891616734</v>
      </c>
      <c r="L40" s="1">
        <f t="shared" si="15"/>
        <v>3150.0000000000005</v>
      </c>
      <c r="M40" s="1">
        <v>-2955533.3884110651</v>
      </c>
      <c r="N40" s="1">
        <f t="shared" si="16"/>
        <v>202.50000000000003</v>
      </c>
      <c r="O40" s="1">
        <v>-1350062.2764659426</v>
      </c>
      <c r="P40" s="1">
        <f t="shared" si="17"/>
        <v>45900.000000000007</v>
      </c>
      <c r="Q40" s="1">
        <v>-2671636.055161132</v>
      </c>
    </row>
    <row r="41" spans="3:17" x14ac:dyDescent="0.4">
      <c r="C41" s="2" t="s">
        <v>27</v>
      </c>
      <c r="D41" s="2" t="s">
        <v>32</v>
      </c>
      <c r="E41" s="2" t="s">
        <v>35</v>
      </c>
      <c r="F41" s="2" t="s">
        <v>36</v>
      </c>
      <c r="I41" s="7">
        <f t="shared" si="13"/>
        <v>-0.49999999999999994</v>
      </c>
      <c r="J41" s="1">
        <f t="shared" si="14"/>
        <v>250</v>
      </c>
      <c r="K41" s="1">
        <v>-4254505.4698939361</v>
      </c>
      <c r="L41" s="1">
        <f t="shared" si="15"/>
        <v>3500</v>
      </c>
      <c r="M41" s="1">
        <v>-2940938.1964842905</v>
      </c>
      <c r="N41" s="1">
        <f t="shared" si="16"/>
        <v>225</v>
      </c>
      <c r="O41" s="1">
        <v>-1481419.0038069072</v>
      </c>
      <c r="P41" s="1">
        <f t="shared" si="17"/>
        <v>51000</v>
      </c>
      <c r="Q41" s="1">
        <v>-2667382.599228187</v>
      </c>
    </row>
    <row r="42" spans="3:17" x14ac:dyDescent="0.4">
      <c r="C42" s="1" t="s">
        <v>29</v>
      </c>
      <c r="D42" s="8">
        <v>20</v>
      </c>
      <c r="E42" s="1">
        <f>+(D30+D31)*D23*(D42/D10)</f>
        <v>167222.22222222222</v>
      </c>
      <c r="F42" s="6" t="s">
        <v>37</v>
      </c>
      <c r="I42" s="7">
        <f t="shared" si="13"/>
        <v>-0.44999999999999996</v>
      </c>
      <c r="J42" s="1">
        <f t="shared" si="14"/>
        <v>275</v>
      </c>
      <c r="K42" s="1">
        <v>-4108553.5506261974</v>
      </c>
      <c r="L42" s="1">
        <f t="shared" si="15"/>
        <v>3850.0000000000005</v>
      </c>
      <c r="M42" s="1">
        <v>-2926343.0045575169</v>
      </c>
      <c r="N42" s="1">
        <f t="shared" si="16"/>
        <v>247.50000000000003</v>
      </c>
      <c r="O42" s="1">
        <v>-1612775.7311478718</v>
      </c>
      <c r="P42" s="1">
        <f t="shared" si="17"/>
        <v>56100.000000000007</v>
      </c>
      <c r="Q42" s="1">
        <v>-2663129.1432952415</v>
      </c>
    </row>
    <row r="43" spans="3:17" x14ac:dyDescent="0.4">
      <c r="C43" s="1" t="s">
        <v>28</v>
      </c>
      <c r="D43" s="8">
        <v>30</v>
      </c>
      <c r="E43" s="1">
        <f>+(D30+D31)*D23*(D43/D10)</f>
        <v>250833.33333333331</v>
      </c>
      <c r="F43" s="6" t="s">
        <v>37</v>
      </c>
      <c r="I43" s="7">
        <f t="shared" si="13"/>
        <v>-0.39999999999999997</v>
      </c>
      <c r="J43" s="1">
        <f t="shared" si="14"/>
        <v>300.00000000000006</v>
      </c>
      <c r="K43" s="1">
        <v>-3962601.6313584591</v>
      </c>
      <c r="L43" s="1">
        <f t="shared" si="15"/>
        <v>4200.0000000000009</v>
      </c>
      <c r="M43" s="1">
        <v>-2911747.8126307433</v>
      </c>
      <c r="N43" s="1">
        <f t="shared" si="16"/>
        <v>270.00000000000006</v>
      </c>
      <c r="O43" s="1">
        <v>-1744132.4584888364</v>
      </c>
      <c r="P43" s="1">
        <f t="shared" si="17"/>
        <v>61200.000000000007</v>
      </c>
      <c r="Q43" s="1">
        <v>-2658875.6873622956</v>
      </c>
    </row>
    <row r="44" spans="3:17" x14ac:dyDescent="0.4">
      <c r="C44" s="1" t="s">
        <v>30</v>
      </c>
      <c r="D44" s="8">
        <v>40</v>
      </c>
      <c r="E44" s="1">
        <f>+D32*D23*(D44/D10)</f>
        <v>15555.555555555555</v>
      </c>
      <c r="F44" s="6" t="s">
        <v>37</v>
      </c>
      <c r="I44" s="7">
        <f t="shared" si="13"/>
        <v>-0.35</v>
      </c>
      <c r="J44" s="1">
        <f t="shared" si="14"/>
        <v>325</v>
      </c>
      <c r="K44" s="1">
        <v>-3816649.7120907209</v>
      </c>
      <c r="L44" s="1">
        <f t="shared" si="15"/>
        <v>4550</v>
      </c>
      <c r="M44" s="1">
        <v>-2897152.6207039696</v>
      </c>
      <c r="N44" s="1">
        <f t="shared" si="16"/>
        <v>292.5</v>
      </c>
      <c r="O44" s="1">
        <v>-1875489.185829801</v>
      </c>
      <c r="P44" s="1">
        <f t="shared" si="17"/>
        <v>66300</v>
      </c>
      <c r="Q44" s="1">
        <v>-2654622.2314293501</v>
      </c>
    </row>
    <row r="45" spans="3:17" x14ac:dyDescent="0.4">
      <c r="C45" s="1" t="s">
        <v>31</v>
      </c>
      <c r="D45" s="8">
        <v>50</v>
      </c>
      <c r="E45" s="1">
        <f>+D36*12*D45/D10</f>
        <v>14166.666666666666</v>
      </c>
      <c r="F45" s="6" t="s">
        <v>38</v>
      </c>
      <c r="I45" s="7">
        <f t="shared" si="13"/>
        <v>-0.3</v>
      </c>
      <c r="J45" s="1">
        <f t="shared" si="14"/>
        <v>350</v>
      </c>
      <c r="K45" s="1">
        <v>-3670697.7928229827</v>
      </c>
      <c r="L45" s="1">
        <f t="shared" si="15"/>
        <v>4900</v>
      </c>
      <c r="M45" s="1">
        <v>-2882557.428777195</v>
      </c>
      <c r="N45" s="1">
        <f t="shared" si="16"/>
        <v>315</v>
      </c>
      <c r="O45" s="1">
        <v>-2006845.9131707654</v>
      </c>
      <c r="P45" s="1">
        <f t="shared" si="17"/>
        <v>71400</v>
      </c>
      <c r="Q45" s="1">
        <v>-2650368.7754964046</v>
      </c>
    </row>
    <row r="46" spans="3:17" ht="16.5" thickBot="1" x14ac:dyDescent="0.45">
      <c r="C46" s="11" t="s">
        <v>34</v>
      </c>
      <c r="D46" s="11"/>
      <c r="E46" s="11">
        <f>+SUM(E42:E45)</f>
        <v>447777.77777777775</v>
      </c>
      <c r="F46" s="11"/>
      <c r="I46" s="7">
        <f t="shared" si="13"/>
        <v>-0.25</v>
      </c>
      <c r="J46" s="1">
        <f t="shared" si="14"/>
        <v>375</v>
      </c>
      <c r="K46" s="1">
        <v>-3524745.8735552444</v>
      </c>
      <c r="L46" s="1">
        <f t="shared" si="15"/>
        <v>5250</v>
      </c>
      <c r="M46" s="1">
        <v>-2867962.2368504214</v>
      </c>
      <c r="N46" s="1">
        <f t="shared" si="16"/>
        <v>337.5</v>
      </c>
      <c r="O46" s="1">
        <v>-2138202.6405117302</v>
      </c>
      <c r="P46" s="1">
        <f t="shared" si="17"/>
        <v>76500</v>
      </c>
      <c r="Q46" s="1">
        <v>-2646115.3195634596</v>
      </c>
    </row>
    <row r="47" spans="3:17" x14ac:dyDescent="0.4">
      <c r="I47" s="7">
        <f t="shared" si="13"/>
        <v>-0.2</v>
      </c>
      <c r="J47" s="1">
        <f t="shared" si="14"/>
        <v>400</v>
      </c>
      <c r="K47" s="1">
        <v>-3378793.9542875062</v>
      </c>
      <c r="L47" s="1">
        <f t="shared" si="15"/>
        <v>5600</v>
      </c>
      <c r="M47" s="1">
        <v>-2853367.0449236478</v>
      </c>
      <c r="N47" s="1">
        <f t="shared" si="16"/>
        <v>360</v>
      </c>
      <c r="O47" s="1">
        <v>-2269559.3678526953</v>
      </c>
      <c r="P47" s="1">
        <f t="shared" si="17"/>
        <v>81600</v>
      </c>
      <c r="Q47" s="1">
        <v>-2641861.8636305132</v>
      </c>
    </row>
    <row r="48" spans="3:17" x14ac:dyDescent="0.4">
      <c r="C48" s="2" t="s">
        <v>45</v>
      </c>
      <c r="D48" s="2"/>
      <c r="E48" s="2"/>
      <c r="I48" s="7">
        <f t="shared" si="13"/>
        <v>-0.15000000000000002</v>
      </c>
      <c r="J48" s="1">
        <f t="shared" si="14"/>
        <v>425</v>
      </c>
      <c r="K48" s="1">
        <v>-3232842.0350197679</v>
      </c>
      <c r="L48" s="1">
        <f t="shared" si="15"/>
        <v>5950</v>
      </c>
      <c r="M48" s="1">
        <v>-2838771.8529968741</v>
      </c>
      <c r="N48" s="1">
        <f t="shared" si="16"/>
        <v>382.5</v>
      </c>
      <c r="O48" s="1">
        <v>-2400916.0951936585</v>
      </c>
      <c r="P48" s="1">
        <f t="shared" si="17"/>
        <v>86700</v>
      </c>
      <c r="Q48" s="1">
        <v>-2637608.4076975682</v>
      </c>
    </row>
    <row r="49" spans="3:17" x14ac:dyDescent="0.4">
      <c r="C49" s="6" t="s">
        <v>58</v>
      </c>
      <c r="D49" s="6" t="s">
        <v>22</v>
      </c>
      <c r="E49" s="6" t="s">
        <v>73</v>
      </c>
      <c r="I49" s="7">
        <f t="shared" si="13"/>
        <v>-0.1</v>
      </c>
      <c r="J49" s="1">
        <f t="shared" si="14"/>
        <v>450</v>
      </c>
      <c r="K49" s="1">
        <v>-3086890.1157520288</v>
      </c>
      <c r="L49" s="1">
        <f t="shared" si="15"/>
        <v>6300</v>
      </c>
      <c r="M49" s="1">
        <v>-2824176.6610701005</v>
      </c>
      <c r="N49" s="1">
        <f t="shared" si="16"/>
        <v>405</v>
      </c>
      <c r="O49" s="1">
        <v>-2532272.8225346231</v>
      </c>
      <c r="P49" s="1">
        <f t="shared" si="17"/>
        <v>91800</v>
      </c>
      <c r="Q49" s="1">
        <v>-2633354.9517646227</v>
      </c>
    </row>
    <row r="50" spans="3:17" x14ac:dyDescent="0.4">
      <c r="C50" s="1" t="s">
        <v>53</v>
      </c>
      <c r="D50" s="8">
        <v>0</v>
      </c>
      <c r="E50" s="8">
        <v>0</v>
      </c>
      <c r="I50" s="7">
        <f>+I51-0.05</f>
        <v>-0.05</v>
      </c>
      <c r="J50" s="1">
        <f t="shared" si="14"/>
        <v>475</v>
      </c>
      <c r="K50" s="1">
        <v>-2940938.1964842905</v>
      </c>
      <c r="L50" s="1">
        <f t="shared" si="15"/>
        <v>6650</v>
      </c>
      <c r="M50" s="1">
        <v>-2809581.4691433259</v>
      </c>
      <c r="N50" s="1">
        <f t="shared" si="16"/>
        <v>427.5</v>
      </c>
      <c r="O50" s="1">
        <v>-2663629.5498755877</v>
      </c>
      <c r="P50" s="1">
        <f t="shared" si="17"/>
        <v>96900</v>
      </c>
      <c r="Q50" s="1">
        <v>-2629101.4958316768</v>
      </c>
    </row>
    <row r="51" spans="3:17" x14ac:dyDescent="0.4">
      <c r="C51" s="1" t="s">
        <v>46</v>
      </c>
      <c r="D51" s="10">
        <v>0.3</v>
      </c>
      <c r="I51" s="7">
        <v>0</v>
      </c>
      <c r="J51" s="1">
        <f t="shared" si="14"/>
        <v>500</v>
      </c>
      <c r="K51" s="1">
        <v>-2794986.2772165523</v>
      </c>
      <c r="L51" s="1">
        <f t="shared" si="15"/>
        <v>7000</v>
      </c>
      <c r="M51" s="1">
        <v>-2794986.2772165523</v>
      </c>
      <c r="N51" s="1">
        <f t="shared" si="16"/>
        <v>450</v>
      </c>
      <c r="O51" s="1">
        <v>-2794986.2772165523</v>
      </c>
      <c r="P51" s="1">
        <f t="shared" si="17"/>
        <v>102000</v>
      </c>
      <c r="Q51" s="1">
        <v>-2624848.0398987313</v>
      </c>
    </row>
    <row r="52" spans="3:17" x14ac:dyDescent="0.4">
      <c r="C52" s="3" t="s">
        <v>50</v>
      </c>
      <c r="D52" s="21">
        <v>0.15</v>
      </c>
      <c r="E52" s="21"/>
      <c r="I52" s="7">
        <f>+I51+0.05</f>
        <v>0.05</v>
      </c>
      <c r="J52" s="1">
        <f t="shared" si="14"/>
        <v>525</v>
      </c>
      <c r="K52" s="1">
        <v>-2649034.3579488141</v>
      </c>
      <c r="L52" s="1">
        <f t="shared" si="15"/>
        <v>7350</v>
      </c>
      <c r="M52" s="1">
        <v>-2780391.0852897787</v>
      </c>
      <c r="N52" s="1">
        <f t="shared" si="16"/>
        <v>472.5</v>
      </c>
      <c r="O52" s="1">
        <v>-2926343.0045575169</v>
      </c>
      <c r="P52" s="1">
        <f t="shared" si="17"/>
        <v>107100</v>
      </c>
      <c r="Q52" s="1">
        <v>-2620594.5839657863</v>
      </c>
    </row>
    <row r="53" spans="3:17" x14ac:dyDescent="0.4">
      <c r="C53" s="6" t="s">
        <v>59</v>
      </c>
      <c r="I53" s="7">
        <f t="shared" ref="I53:I66" si="18">+I52+0.05</f>
        <v>0.1</v>
      </c>
      <c r="J53" s="1">
        <f t="shared" si="14"/>
        <v>550</v>
      </c>
      <c r="K53" s="1">
        <v>-2503082.4386810758</v>
      </c>
      <c r="L53" s="1">
        <f t="shared" si="15"/>
        <v>7700.0000000000009</v>
      </c>
      <c r="M53" s="1">
        <v>-2765795.893363005</v>
      </c>
      <c r="N53" s="1">
        <f t="shared" si="16"/>
        <v>495.00000000000006</v>
      </c>
      <c r="O53" s="1">
        <v>-3057699.7318984815</v>
      </c>
      <c r="P53" s="1">
        <f t="shared" si="17"/>
        <v>112200.00000000001</v>
      </c>
      <c r="Q53" s="1">
        <v>-2616341.1280328408</v>
      </c>
    </row>
    <row r="54" spans="3:17" x14ac:dyDescent="0.4">
      <c r="C54" s="1" t="s">
        <v>54</v>
      </c>
      <c r="D54" s="8">
        <v>0</v>
      </c>
      <c r="I54" s="7">
        <f t="shared" si="18"/>
        <v>0.15000000000000002</v>
      </c>
      <c r="J54" s="1">
        <f t="shared" si="14"/>
        <v>575</v>
      </c>
      <c r="K54" s="1">
        <v>-2357130.5194133385</v>
      </c>
      <c r="L54" s="1">
        <f t="shared" si="15"/>
        <v>8049.9999999999991</v>
      </c>
      <c r="M54" s="1">
        <v>-2751200.7014362314</v>
      </c>
      <c r="N54" s="1">
        <f t="shared" si="16"/>
        <v>517.5</v>
      </c>
      <c r="O54" s="1">
        <v>-3189056.4592394461</v>
      </c>
      <c r="P54" s="1">
        <f t="shared" si="17"/>
        <v>117299.99999999999</v>
      </c>
      <c r="Q54" s="1">
        <v>-2612087.6720998948</v>
      </c>
    </row>
    <row r="55" spans="3:17" x14ac:dyDescent="0.4">
      <c r="C55" s="1" t="s">
        <v>46</v>
      </c>
      <c r="D55" s="10">
        <v>0.4</v>
      </c>
      <c r="I55" s="7">
        <f t="shared" si="18"/>
        <v>0.2</v>
      </c>
      <c r="J55" s="1">
        <f t="shared" si="14"/>
        <v>600</v>
      </c>
      <c r="K55" s="1">
        <v>-2211178.6001456003</v>
      </c>
      <c r="L55" s="1">
        <f t="shared" si="15"/>
        <v>8400</v>
      </c>
      <c r="M55" s="1">
        <v>-2736605.5095094568</v>
      </c>
      <c r="N55" s="1">
        <f t="shared" si="16"/>
        <v>540</v>
      </c>
      <c r="O55" s="1">
        <v>-3320413.1865804107</v>
      </c>
      <c r="P55" s="1">
        <f t="shared" si="17"/>
        <v>122400</v>
      </c>
      <c r="Q55" s="1">
        <v>-2607834.2161669494</v>
      </c>
    </row>
    <row r="56" spans="3:17" x14ac:dyDescent="0.4">
      <c r="C56" s="3" t="s">
        <v>50</v>
      </c>
      <c r="D56" s="21">
        <v>0.1</v>
      </c>
      <c r="I56" s="7">
        <f t="shared" si="18"/>
        <v>0.25</v>
      </c>
      <c r="J56" s="1">
        <f t="shared" si="14"/>
        <v>625</v>
      </c>
      <c r="K56" s="1">
        <v>-2065226.6808778609</v>
      </c>
      <c r="L56" s="1">
        <f t="shared" si="15"/>
        <v>8750</v>
      </c>
      <c r="M56" s="1">
        <v>-2722010.3175826832</v>
      </c>
      <c r="N56" s="1">
        <f t="shared" si="16"/>
        <v>562.5</v>
      </c>
      <c r="O56" s="1">
        <v>-3451769.9139213753</v>
      </c>
      <c r="P56" s="1">
        <f t="shared" si="17"/>
        <v>127500</v>
      </c>
      <c r="Q56" s="1">
        <v>-2603580.7602340044</v>
      </c>
    </row>
    <row r="57" spans="3:17" x14ac:dyDescent="0.4">
      <c r="I57" s="7">
        <f t="shared" si="18"/>
        <v>0.3</v>
      </c>
      <c r="J57" s="1">
        <f t="shared" si="14"/>
        <v>650</v>
      </c>
      <c r="K57" s="1">
        <v>-1919274.7616101219</v>
      </c>
      <c r="L57" s="1">
        <f t="shared" si="15"/>
        <v>9100</v>
      </c>
      <c r="M57" s="1">
        <v>-2707415.1256559095</v>
      </c>
      <c r="N57" s="1">
        <f t="shared" si="16"/>
        <v>585</v>
      </c>
      <c r="O57" s="1">
        <v>-3583126.6412623399</v>
      </c>
      <c r="P57" s="1">
        <f t="shared" si="17"/>
        <v>132600</v>
      </c>
      <c r="Q57" s="1">
        <v>-2599327.3043010589</v>
      </c>
    </row>
    <row r="58" spans="3:17" x14ac:dyDescent="0.4">
      <c r="C58" s="2" t="s">
        <v>78</v>
      </c>
      <c r="D58" s="2"/>
      <c r="I58" s="7">
        <f t="shared" si="18"/>
        <v>0.35</v>
      </c>
      <c r="J58" s="1">
        <f t="shared" si="14"/>
        <v>675</v>
      </c>
      <c r="K58" s="1">
        <v>-1773322.8423423837</v>
      </c>
      <c r="L58" s="1">
        <f t="shared" si="15"/>
        <v>9450</v>
      </c>
      <c r="M58" s="1">
        <v>-2692819.9337291359</v>
      </c>
      <c r="N58" s="1">
        <f t="shared" si="16"/>
        <v>607.5</v>
      </c>
      <c r="O58" s="1">
        <v>-3714483.3686033045</v>
      </c>
      <c r="P58" s="1">
        <f t="shared" si="17"/>
        <v>137700</v>
      </c>
      <c r="Q58" s="1">
        <v>-2595073.8483681129</v>
      </c>
    </row>
    <row r="59" spans="3:17" x14ac:dyDescent="0.4">
      <c r="C59" s="1" t="s">
        <v>81</v>
      </c>
      <c r="D59" s="27" t="s">
        <v>112</v>
      </c>
      <c r="I59" s="7">
        <f t="shared" si="18"/>
        <v>0.39999999999999997</v>
      </c>
      <c r="J59" s="1">
        <f t="shared" si="14"/>
        <v>700</v>
      </c>
      <c r="K59" s="1">
        <v>-1627370.9230746455</v>
      </c>
      <c r="L59" s="1">
        <f t="shared" si="15"/>
        <v>9800</v>
      </c>
      <c r="M59" s="1">
        <v>-2678224.7418023613</v>
      </c>
      <c r="N59" s="1">
        <f t="shared" si="16"/>
        <v>630</v>
      </c>
      <c r="O59" s="1">
        <v>-3845840.0959442691</v>
      </c>
      <c r="P59" s="1">
        <f t="shared" si="17"/>
        <v>142800</v>
      </c>
      <c r="Q59" s="1">
        <v>-2590820.3924351675</v>
      </c>
    </row>
    <row r="60" spans="3:17" x14ac:dyDescent="0.4">
      <c r="C60" s="1" t="s">
        <v>79</v>
      </c>
      <c r="D60" s="8">
        <v>2000000</v>
      </c>
      <c r="I60" s="7">
        <f t="shared" si="18"/>
        <v>0.44999999999999996</v>
      </c>
      <c r="J60" s="1">
        <f t="shared" si="14"/>
        <v>725</v>
      </c>
      <c r="K60" s="1">
        <v>-1481419.0038069072</v>
      </c>
      <c r="L60" s="1">
        <f t="shared" si="15"/>
        <v>10150</v>
      </c>
      <c r="M60" s="1">
        <v>-2663629.5498755877</v>
      </c>
      <c r="N60" s="1">
        <f t="shared" si="16"/>
        <v>652.5</v>
      </c>
      <c r="O60" s="1">
        <v>-3977196.8232852337</v>
      </c>
      <c r="P60" s="1">
        <f t="shared" si="17"/>
        <v>147900</v>
      </c>
      <c r="Q60" s="1">
        <v>-2586566.936502222</v>
      </c>
    </row>
    <row r="61" spans="3:17" x14ac:dyDescent="0.4">
      <c r="C61" s="1" t="s">
        <v>80</v>
      </c>
      <c r="D61" s="10">
        <v>0.05</v>
      </c>
      <c r="I61" s="7">
        <f t="shared" si="18"/>
        <v>0.49999999999999994</v>
      </c>
      <c r="J61" s="1">
        <f t="shared" si="14"/>
        <v>750</v>
      </c>
      <c r="K61" s="1">
        <v>-1335467.084539169</v>
      </c>
      <c r="L61" s="1">
        <f t="shared" si="15"/>
        <v>10500</v>
      </c>
      <c r="M61" s="1">
        <v>-2649034.3579488141</v>
      </c>
      <c r="N61" s="1">
        <f t="shared" si="16"/>
        <v>675</v>
      </c>
      <c r="O61" s="1">
        <v>-4108553.5506261974</v>
      </c>
      <c r="P61" s="1">
        <f t="shared" si="17"/>
        <v>153000</v>
      </c>
      <c r="Q61" s="1">
        <v>-2582313.480569277</v>
      </c>
    </row>
    <row r="62" spans="3:17" x14ac:dyDescent="0.4">
      <c r="C62" s="3" t="s">
        <v>82</v>
      </c>
      <c r="D62" s="3">
        <f>+D9</f>
        <v>5</v>
      </c>
      <c r="I62" s="7">
        <f t="shared" si="18"/>
        <v>0.54999999999999993</v>
      </c>
      <c r="J62" s="1">
        <f t="shared" si="14"/>
        <v>774.99999999999989</v>
      </c>
      <c r="K62" s="1">
        <v>-1189515.1652714312</v>
      </c>
      <c r="L62" s="1">
        <f t="shared" si="15"/>
        <v>10849.999999999998</v>
      </c>
      <c r="M62" s="1">
        <v>-2634439.1660220404</v>
      </c>
      <c r="N62" s="1">
        <f t="shared" si="16"/>
        <v>697.49999999999989</v>
      </c>
      <c r="O62" s="1">
        <v>-4239910.2779671615</v>
      </c>
      <c r="P62" s="1">
        <f t="shared" si="17"/>
        <v>158099.99999999997</v>
      </c>
      <c r="Q62" s="1">
        <v>-2578060.0246363305</v>
      </c>
    </row>
    <row r="63" spans="3:17" x14ac:dyDescent="0.4">
      <c r="I63" s="7">
        <f t="shared" si="18"/>
        <v>0.6</v>
      </c>
      <c r="J63" s="1">
        <f t="shared" si="14"/>
        <v>800</v>
      </c>
      <c r="K63" s="1">
        <v>-1043563.2460036922</v>
      </c>
      <c r="L63" s="1">
        <f t="shared" si="15"/>
        <v>11200</v>
      </c>
      <c r="M63" s="1">
        <v>-2619843.9740952668</v>
      </c>
      <c r="N63" s="1">
        <f t="shared" si="16"/>
        <v>720</v>
      </c>
      <c r="O63" s="1">
        <v>-4371267.0053081261</v>
      </c>
      <c r="P63" s="1">
        <f t="shared" si="17"/>
        <v>163200</v>
      </c>
      <c r="Q63" s="1">
        <v>-2573806.5687033855</v>
      </c>
    </row>
    <row r="64" spans="3:17" x14ac:dyDescent="0.4">
      <c r="C64" s="2" t="s">
        <v>69</v>
      </c>
      <c r="D64" s="2"/>
      <c r="I64" s="7">
        <f t="shared" si="18"/>
        <v>0.65</v>
      </c>
      <c r="J64" s="1">
        <f t="shared" si="14"/>
        <v>825</v>
      </c>
      <c r="K64" s="1">
        <v>-897611.32673595345</v>
      </c>
      <c r="L64" s="1">
        <f t="shared" si="15"/>
        <v>11550</v>
      </c>
      <c r="M64" s="1">
        <v>-2605248.7821684922</v>
      </c>
      <c r="N64" s="1">
        <f t="shared" si="16"/>
        <v>742.5</v>
      </c>
      <c r="O64" s="1">
        <v>-4502623.7326490907</v>
      </c>
      <c r="P64" s="1">
        <f t="shared" si="17"/>
        <v>168300</v>
      </c>
      <c r="Q64" s="1">
        <v>-2569553.1127704401</v>
      </c>
    </row>
    <row r="65" spans="3:17" x14ac:dyDescent="0.4">
      <c r="C65" s="1" t="s">
        <v>71</v>
      </c>
      <c r="D65" s="24">
        <v>9.5000000000000001E-2</v>
      </c>
      <c r="I65" s="7">
        <f t="shared" si="18"/>
        <v>0.70000000000000007</v>
      </c>
      <c r="J65" s="1">
        <f t="shared" si="14"/>
        <v>850.00000000000011</v>
      </c>
      <c r="K65" s="1">
        <v>-751659.4074682144</v>
      </c>
      <c r="L65" s="1">
        <f t="shared" si="15"/>
        <v>11900.000000000002</v>
      </c>
      <c r="M65" s="1">
        <v>-2590653.5902417186</v>
      </c>
      <c r="N65" s="1">
        <f t="shared" si="16"/>
        <v>765.00000000000011</v>
      </c>
      <c r="O65" s="1">
        <v>-4633980.4599900562</v>
      </c>
      <c r="P65" s="1">
        <f t="shared" si="17"/>
        <v>173400.00000000003</v>
      </c>
      <c r="Q65" s="1">
        <v>-2565299.6568374941</v>
      </c>
    </row>
    <row r="66" spans="3:17" x14ac:dyDescent="0.4">
      <c r="C66" s="1" t="s">
        <v>70</v>
      </c>
      <c r="D66" s="10">
        <v>0.22</v>
      </c>
      <c r="I66" s="7">
        <f t="shared" si="18"/>
        <v>0.75000000000000011</v>
      </c>
      <c r="J66" s="1">
        <f t="shared" si="14"/>
        <v>875</v>
      </c>
      <c r="K66" s="1">
        <v>-605707.48820047698</v>
      </c>
      <c r="L66" s="1">
        <f t="shared" si="15"/>
        <v>12250</v>
      </c>
      <c r="M66" s="1">
        <v>-2576058.3983149449</v>
      </c>
      <c r="N66" s="1">
        <f t="shared" si="16"/>
        <v>787.5</v>
      </c>
      <c r="O66" s="1">
        <v>-4765337.1873310199</v>
      </c>
      <c r="P66" s="1">
        <f t="shared" si="17"/>
        <v>178500</v>
      </c>
      <c r="Q66" s="1">
        <v>-2561046.2009045486</v>
      </c>
    </row>
    <row r="67" spans="3:17" x14ac:dyDescent="0.4">
      <c r="C67" s="1" t="s">
        <v>72</v>
      </c>
      <c r="D67" s="10">
        <v>0.09</v>
      </c>
      <c r="J67" s="7"/>
    </row>
    <row r="68" spans="3:17" x14ac:dyDescent="0.4">
      <c r="C68" s="28" t="s">
        <v>100</v>
      </c>
    </row>
    <row r="69" spans="3:17" x14ac:dyDescent="0.4">
      <c r="C69" s="1" t="s">
        <v>102</v>
      </c>
      <c r="D69" s="7">
        <f>+D60/D15</f>
        <v>0.4</v>
      </c>
      <c r="I69" s="7" t="s">
        <v>131</v>
      </c>
      <c r="J69" s="1" t="s">
        <v>132</v>
      </c>
      <c r="K69" s="1" t="s">
        <v>133</v>
      </c>
      <c r="L69" s="1" t="s">
        <v>134</v>
      </c>
      <c r="M69" s="1" t="s">
        <v>135</v>
      </c>
    </row>
    <row r="70" spans="3:17" x14ac:dyDescent="0.4">
      <c r="C70" s="1" t="s">
        <v>101</v>
      </c>
      <c r="D70" s="7">
        <f>1-D69</f>
        <v>0.6</v>
      </c>
      <c r="I70" s="7">
        <f t="shared" ref="I70:I83" si="19">+I71-0.05</f>
        <v>-0.75000000000000011</v>
      </c>
      <c r="J70" s="1">
        <v>-238805.75439222966</v>
      </c>
      <c r="K70" s="1">
        <v>2263227.1473404285</v>
      </c>
      <c r="L70" s="1">
        <v>6016276.4999394156</v>
      </c>
      <c r="M70" s="1">
        <v>3611822.8813743312</v>
      </c>
    </row>
    <row r="71" spans="3:17" x14ac:dyDescent="0.4">
      <c r="C71" s="1" t="s">
        <v>103</v>
      </c>
      <c r="D71" s="25">
        <f>+$D$65+($D$65-$D$61)*$D$60/($D$15-$D$60)</f>
        <v>0.125</v>
      </c>
      <c r="I71" s="7">
        <f t="shared" si="19"/>
        <v>-0.70000000000000007</v>
      </c>
      <c r="J71" s="1">
        <v>11397.535781035429</v>
      </c>
      <c r="K71" s="1">
        <v>2346628.2440648503</v>
      </c>
      <c r="L71" s="1">
        <v>5849474.3064905722</v>
      </c>
      <c r="M71" s="1">
        <v>3615726.0527010346</v>
      </c>
    </row>
    <row r="72" spans="3:17" x14ac:dyDescent="0.4">
      <c r="C72" s="3" t="s">
        <v>104</v>
      </c>
      <c r="D72" s="34">
        <f>+D71*(1-D66)</f>
        <v>9.7500000000000003E-2</v>
      </c>
      <c r="I72" s="7">
        <f t="shared" si="19"/>
        <v>-0.65</v>
      </c>
      <c r="J72" s="1">
        <v>261600.82595430221</v>
      </c>
      <c r="K72" s="1">
        <v>2430029.3407892724</v>
      </c>
      <c r="L72" s="1">
        <v>5682672.1130417278</v>
      </c>
      <c r="M72" s="1">
        <v>3619629.2240277366</v>
      </c>
    </row>
    <row r="73" spans="3:17" x14ac:dyDescent="0.4">
      <c r="I73" s="7">
        <f t="shared" si="19"/>
        <v>-0.6</v>
      </c>
      <c r="J73" s="1">
        <v>511804.11612756731</v>
      </c>
      <c r="K73" s="1">
        <v>2513430.4375136942</v>
      </c>
      <c r="L73" s="1">
        <v>5515869.9195928834</v>
      </c>
      <c r="M73" s="1">
        <v>3623532.39535444</v>
      </c>
    </row>
    <row r="74" spans="3:17" x14ac:dyDescent="0.4">
      <c r="I74" s="7">
        <f t="shared" si="19"/>
        <v>-0.54999999999999993</v>
      </c>
      <c r="J74" s="1">
        <v>762007.40630083403</v>
      </c>
      <c r="K74" s="1">
        <v>2596831.5342381164</v>
      </c>
      <c r="L74" s="1">
        <v>5349067.72614404</v>
      </c>
      <c r="M74" s="1">
        <v>3627435.5666811429</v>
      </c>
    </row>
    <row r="75" spans="3:17" x14ac:dyDescent="0.4">
      <c r="I75" s="7">
        <f t="shared" si="19"/>
        <v>-0.49999999999999994</v>
      </c>
      <c r="J75" s="1">
        <v>1012210.6964740994</v>
      </c>
      <c r="K75" s="1">
        <v>2680232.6309625385</v>
      </c>
      <c r="L75" s="1">
        <v>5182265.5326951956</v>
      </c>
      <c r="M75" s="1">
        <v>3631338.7380078463</v>
      </c>
    </row>
    <row r="76" spans="3:17" x14ac:dyDescent="0.4">
      <c r="I76" s="7">
        <f t="shared" si="19"/>
        <v>-0.44999999999999996</v>
      </c>
      <c r="J76" s="1">
        <v>1262413.9866473661</v>
      </c>
      <c r="K76" s="1">
        <v>2763633.7276869603</v>
      </c>
      <c r="L76" s="1">
        <v>5015463.3392463522</v>
      </c>
      <c r="M76" s="1">
        <v>3635241.9093345492</v>
      </c>
    </row>
    <row r="77" spans="3:17" x14ac:dyDescent="0.4">
      <c r="I77" s="7">
        <f t="shared" si="19"/>
        <v>-0.39999999999999997</v>
      </c>
      <c r="J77" s="1">
        <v>1512617.2768206312</v>
      </c>
      <c r="K77" s="1">
        <v>2847034.8244113824</v>
      </c>
      <c r="L77" s="1">
        <v>4848661.1457975078</v>
      </c>
      <c r="M77" s="1">
        <v>3639145.0806612517</v>
      </c>
    </row>
    <row r="78" spans="3:17" x14ac:dyDescent="0.4">
      <c r="I78" s="7">
        <f t="shared" si="19"/>
        <v>-0.35</v>
      </c>
      <c r="J78" s="1">
        <v>1762820.5669938964</v>
      </c>
      <c r="K78" s="1">
        <v>2930435.9211358042</v>
      </c>
      <c r="L78" s="1">
        <v>4681858.9523486644</v>
      </c>
      <c r="M78" s="1">
        <v>3643048.2519879546</v>
      </c>
    </row>
    <row r="79" spans="3:17" x14ac:dyDescent="0.4">
      <c r="I79" s="7">
        <f t="shared" si="19"/>
        <v>-0.3</v>
      </c>
      <c r="J79" s="1">
        <v>2013023.8571671625</v>
      </c>
      <c r="K79" s="1">
        <v>3013837.0178602263</v>
      </c>
      <c r="L79" s="1">
        <v>4515056.758899821</v>
      </c>
      <c r="M79" s="1">
        <v>3646951.423314658</v>
      </c>
    </row>
    <row r="80" spans="3:17" x14ac:dyDescent="0.4">
      <c r="I80" s="7">
        <f t="shared" si="19"/>
        <v>-0.25</v>
      </c>
      <c r="J80" s="1">
        <v>2263227.1473404285</v>
      </c>
      <c r="K80" s="1">
        <v>3097238.1145846476</v>
      </c>
      <c r="L80" s="1">
        <v>4348254.5654509766</v>
      </c>
      <c r="M80" s="1">
        <v>3650854.5946413609</v>
      </c>
    </row>
    <row r="81" spans="9:13" x14ac:dyDescent="0.4">
      <c r="I81" s="7">
        <f t="shared" si="19"/>
        <v>-0.2</v>
      </c>
      <c r="J81" s="1">
        <v>2513430.4375136942</v>
      </c>
      <c r="K81" s="1">
        <v>3180639.2113090702</v>
      </c>
      <c r="L81" s="1">
        <v>4181452.3720021332</v>
      </c>
      <c r="M81" s="1">
        <v>3654757.7659680634</v>
      </c>
    </row>
    <row r="82" spans="9:13" x14ac:dyDescent="0.4">
      <c r="I82" s="7">
        <f t="shared" si="19"/>
        <v>-0.15000000000000002</v>
      </c>
      <c r="J82" s="1">
        <v>2763633.7276869603</v>
      </c>
      <c r="K82" s="1">
        <v>3264040.308033492</v>
      </c>
      <c r="L82" s="1">
        <v>4014650.1785532893</v>
      </c>
      <c r="M82" s="1">
        <v>3658660.9372947663</v>
      </c>
    </row>
    <row r="83" spans="9:13" x14ac:dyDescent="0.4">
      <c r="I83" s="7">
        <f t="shared" si="19"/>
        <v>-0.1</v>
      </c>
      <c r="J83" s="1">
        <v>3013837.0178602263</v>
      </c>
      <c r="K83" s="1">
        <v>3347441.4047579132</v>
      </c>
      <c r="L83" s="1">
        <v>3847847.9851044454</v>
      </c>
      <c r="M83" s="1">
        <v>3662564.1086214697</v>
      </c>
    </row>
    <row r="84" spans="9:13" x14ac:dyDescent="0.4">
      <c r="I84" s="7">
        <f>+I85-0.05</f>
        <v>-0.05</v>
      </c>
      <c r="J84" s="1">
        <v>3264040.308033492</v>
      </c>
      <c r="K84" s="1">
        <v>3430842.5014823354</v>
      </c>
      <c r="L84" s="1">
        <v>3681045.791655601</v>
      </c>
      <c r="M84" s="1">
        <v>3666467.2799481726</v>
      </c>
    </row>
    <row r="85" spans="9:13" x14ac:dyDescent="0.4">
      <c r="I85" s="7">
        <v>0</v>
      </c>
      <c r="J85" s="1">
        <v>3514243.5982067571</v>
      </c>
      <c r="K85" s="1">
        <v>3514243.5982067571</v>
      </c>
      <c r="L85" s="1">
        <v>3514243.5982067571</v>
      </c>
      <c r="M85" s="1">
        <v>3670370.4512748756</v>
      </c>
    </row>
    <row r="86" spans="9:13" x14ac:dyDescent="0.4">
      <c r="I86" s="7">
        <f>+I85+0.05</f>
        <v>0.05</v>
      </c>
      <c r="J86" s="1">
        <v>3764446.8883800232</v>
      </c>
      <c r="K86" s="1">
        <v>3597644.6949311793</v>
      </c>
      <c r="L86" s="1">
        <v>3347441.4047579132</v>
      </c>
      <c r="M86" s="1">
        <v>3674273.622601578</v>
      </c>
    </row>
    <row r="87" spans="9:13" x14ac:dyDescent="0.4">
      <c r="I87" s="7">
        <f t="shared" ref="I87:I100" si="20">+I86+0.05</f>
        <v>0.1</v>
      </c>
      <c r="J87" s="1">
        <v>4014650.1785532893</v>
      </c>
      <c r="K87" s="1">
        <v>3681045.791655601</v>
      </c>
      <c r="L87" s="1">
        <v>3180639.2113090693</v>
      </c>
      <c r="M87" s="1">
        <v>3678176.7939282814</v>
      </c>
    </row>
    <row r="88" spans="9:13" x14ac:dyDescent="0.4">
      <c r="I88" s="7">
        <f t="shared" si="20"/>
        <v>0.15000000000000002</v>
      </c>
      <c r="J88" s="1">
        <v>4264853.4687265549</v>
      </c>
      <c r="K88" s="1">
        <v>3764446.8883800232</v>
      </c>
      <c r="L88" s="1">
        <v>3013837.0178602263</v>
      </c>
      <c r="M88" s="1">
        <v>3682079.9652549843</v>
      </c>
    </row>
    <row r="89" spans="9:13" x14ac:dyDescent="0.4">
      <c r="I89" s="7">
        <f t="shared" si="20"/>
        <v>0.2</v>
      </c>
      <c r="J89" s="1">
        <v>4515056.758899821</v>
      </c>
      <c r="K89" s="1">
        <v>3847847.9851044454</v>
      </c>
      <c r="L89" s="1">
        <v>2847034.8244113824</v>
      </c>
      <c r="M89" s="1">
        <v>3685983.1365816873</v>
      </c>
    </row>
    <row r="90" spans="9:13" x14ac:dyDescent="0.4">
      <c r="I90" s="7">
        <f t="shared" si="20"/>
        <v>0.25</v>
      </c>
      <c r="J90" s="1">
        <v>4765260.0490730871</v>
      </c>
      <c r="K90" s="1">
        <v>3931249.0818288671</v>
      </c>
      <c r="L90" s="1">
        <v>2680232.6309625385</v>
      </c>
      <c r="M90" s="1">
        <v>3689886.3079083906</v>
      </c>
    </row>
    <row r="91" spans="9:13" x14ac:dyDescent="0.4">
      <c r="I91" s="7">
        <f t="shared" si="20"/>
        <v>0.3</v>
      </c>
      <c r="J91" s="1">
        <v>5015463.3392463522</v>
      </c>
      <c r="K91" s="1">
        <v>4014650.1785532893</v>
      </c>
      <c r="L91" s="1">
        <v>2513430.4375136942</v>
      </c>
      <c r="M91" s="1">
        <v>3693789.4792350926</v>
      </c>
    </row>
    <row r="92" spans="9:13" x14ac:dyDescent="0.4">
      <c r="I92" s="7">
        <f t="shared" si="20"/>
        <v>0.35</v>
      </c>
      <c r="J92" s="1">
        <v>5265666.6294196192</v>
      </c>
      <c r="K92" s="1">
        <v>4098051.275277711</v>
      </c>
      <c r="L92" s="1">
        <v>2346628.2440648503</v>
      </c>
      <c r="M92" s="1">
        <v>3697692.650561796</v>
      </c>
    </row>
    <row r="93" spans="9:13" x14ac:dyDescent="0.4">
      <c r="I93" s="7">
        <f t="shared" si="20"/>
        <v>0.39999999999999997</v>
      </c>
      <c r="J93" s="1">
        <v>5515869.9195928834</v>
      </c>
      <c r="K93" s="1">
        <v>4181452.3720021332</v>
      </c>
      <c r="L93" s="1">
        <v>2179826.0506160064</v>
      </c>
      <c r="M93" s="1">
        <v>3701595.821888499</v>
      </c>
    </row>
    <row r="94" spans="9:13" x14ac:dyDescent="0.4">
      <c r="I94" s="7">
        <f t="shared" si="20"/>
        <v>0.44999999999999996</v>
      </c>
      <c r="J94" s="1">
        <v>5766073.2097661505</v>
      </c>
      <c r="K94" s="1">
        <v>4264853.4687265549</v>
      </c>
      <c r="L94" s="1">
        <v>2013023.8571671625</v>
      </c>
      <c r="M94" s="1">
        <v>3705498.9932152024</v>
      </c>
    </row>
    <row r="95" spans="9:13" x14ac:dyDescent="0.4">
      <c r="I95" s="7">
        <f t="shared" si="20"/>
        <v>0.49999999999999994</v>
      </c>
      <c r="J95" s="1">
        <v>6016276.4999394156</v>
      </c>
      <c r="K95" s="1">
        <v>4348254.5654509766</v>
      </c>
      <c r="L95" s="1">
        <v>1846221.6637183188</v>
      </c>
      <c r="M95" s="1">
        <v>3709402.1645419043</v>
      </c>
    </row>
    <row r="96" spans="9:13" x14ac:dyDescent="0.4">
      <c r="I96" s="7">
        <f t="shared" si="20"/>
        <v>0.54999999999999993</v>
      </c>
      <c r="J96" s="1">
        <v>6266479.7901126808</v>
      </c>
      <c r="K96" s="1">
        <v>4431655.6621753983</v>
      </c>
      <c r="L96" s="1">
        <v>1679419.470269477</v>
      </c>
      <c r="M96" s="1">
        <v>3713305.3358686077</v>
      </c>
    </row>
    <row r="97" spans="9:13" x14ac:dyDescent="0.4">
      <c r="I97" s="7">
        <f t="shared" si="20"/>
        <v>0.6</v>
      </c>
      <c r="J97" s="1">
        <v>6516683.0802859478</v>
      </c>
      <c r="K97" s="1">
        <v>4515056.758899821</v>
      </c>
      <c r="L97" s="1">
        <v>1512617.2768206312</v>
      </c>
      <c r="M97" s="1">
        <v>3717208.5071953107</v>
      </c>
    </row>
    <row r="98" spans="9:13" x14ac:dyDescent="0.4">
      <c r="I98" s="7">
        <f t="shared" si="20"/>
        <v>0.65</v>
      </c>
      <c r="J98" s="1">
        <v>6766886.3704592129</v>
      </c>
      <c r="K98" s="1">
        <v>4598457.8556242427</v>
      </c>
      <c r="L98" s="1">
        <v>1345815.0833717873</v>
      </c>
      <c r="M98" s="1">
        <v>3721111.6785220141</v>
      </c>
    </row>
    <row r="99" spans="9:13" x14ac:dyDescent="0.4">
      <c r="I99" s="7">
        <f t="shared" si="20"/>
        <v>0.70000000000000007</v>
      </c>
      <c r="J99" s="1">
        <v>7017089.6606324799</v>
      </c>
      <c r="K99" s="1">
        <v>4681858.9523486644</v>
      </c>
      <c r="L99" s="1">
        <v>1179012.8899229434</v>
      </c>
      <c r="M99" s="1">
        <v>3725014.849848717</v>
      </c>
    </row>
    <row r="100" spans="9:13" x14ac:dyDescent="0.4">
      <c r="I100" s="7">
        <f t="shared" si="20"/>
        <v>0.75000000000000011</v>
      </c>
      <c r="J100" s="1">
        <v>7267292.9508057442</v>
      </c>
      <c r="K100" s="1">
        <v>4765260.0490730871</v>
      </c>
      <c r="L100" s="1">
        <v>1012210.6964740994</v>
      </c>
      <c r="M100" s="1">
        <v>3728918.0211754194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540BE-3003-4EDF-AFC8-F659BB430323}">
  <dimension ref="B2:S103"/>
  <sheetViews>
    <sheetView workbookViewId="0">
      <selection activeCell="H103" sqref="H103"/>
    </sheetView>
  </sheetViews>
  <sheetFormatPr defaultRowHeight="14.5" x14ac:dyDescent="0.35"/>
  <cols>
    <col min="3" max="3" width="10.1796875" bestFit="1" customWidth="1"/>
    <col min="6" max="7" width="10.1796875" bestFit="1" customWidth="1"/>
    <col min="10" max="11" width="10.1796875" bestFit="1" customWidth="1"/>
    <col min="17" max="17" width="10.81640625" bestFit="1" customWidth="1"/>
  </cols>
  <sheetData>
    <row r="2" spans="2:19" x14ac:dyDescent="0.35">
      <c r="E2" t="s">
        <v>133</v>
      </c>
      <c r="F2" t="s">
        <v>140</v>
      </c>
      <c r="G2" t="s">
        <v>141</v>
      </c>
      <c r="H2" t="s">
        <v>130</v>
      </c>
    </row>
    <row r="3" spans="2:19" x14ac:dyDescent="0.35">
      <c r="B3" t="s">
        <v>132</v>
      </c>
      <c r="C3">
        <v>20</v>
      </c>
      <c r="E3">
        <v>0</v>
      </c>
      <c r="F3" s="53">
        <f>+$C$3*$E3/(1+$C$7)^1 + $C$3*$E3/(1+$C$7)^2</f>
        <v>0</v>
      </c>
      <c r="G3" s="54">
        <f>+($C$4*$E3+$C$5)/(1+$C$7)^1 + ($C$4*$E3+$C$5)/(1+$C$7)^2 +$C$6</f>
        <v>117832.64746227709</v>
      </c>
      <c r="H3" s="53">
        <f>+F3-G3</f>
        <v>-117832.64746227709</v>
      </c>
      <c r="J3" s="53"/>
      <c r="K3" s="53"/>
      <c r="L3" s="53"/>
      <c r="Q3" s="53"/>
      <c r="R3" s="53"/>
      <c r="S3" s="53"/>
    </row>
    <row r="4" spans="2:19" x14ac:dyDescent="0.35">
      <c r="B4" t="s">
        <v>134</v>
      </c>
      <c r="C4">
        <v>10</v>
      </c>
      <c r="E4">
        <f>+E3+100</f>
        <v>100</v>
      </c>
      <c r="F4" s="53">
        <f t="shared" ref="F4:F67" si="0">+$C$3*$E4/(1+$C$7)^1 + $C$3*$E4/(1+$C$7)^2</f>
        <v>3566.5294924554182</v>
      </c>
      <c r="G4" s="54">
        <f t="shared" ref="G4:G67" si="1">+($C$4*$E4+$C$5)/(1+$C$7)^1 + ($C$4*$E4+$C$5)/(1+$C$7)^2 +$C$6</f>
        <v>119615.9122085048</v>
      </c>
      <c r="H4" s="53">
        <f t="shared" ref="H4:H67" si="2">+F4-G4</f>
        <v>-116049.38271604938</v>
      </c>
      <c r="J4" s="53"/>
      <c r="K4" s="53"/>
      <c r="L4" s="53"/>
      <c r="Q4" s="53"/>
      <c r="R4" s="53"/>
      <c r="S4" s="53"/>
    </row>
    <row r="5" spans="2:19" x14ac:dyDescent="0.35">
      <c r="B5" t="s">
        <v>135</v>
      </c>
      <c r="C5" s="53">
        <v>10000</v>
      </c>
      <c r="E5">
        <f t="shared" ref="E5:E70" si="3">+E4+100</f>
        <v>200</v>
      </c>
      <c r="F5" s="53">
        <f t="shared" si="0"/>
        <v>7133.0589849108364</v>
      </c>
      <c r="G5" s="54">
        <f t="shared" si="1"/>
        <v>121399.17695473251</v>
      </c>
      <c r="H5" s="53">
        <f t="shared" si="2"/>
        <v>-114266.11796982167</v>
      </c>
      <c r="J5" s="53"/>
      <c r="K5" s="53"/>
      <c r="L5" s="53"/>
      <c r="Q5" s="53"/>
      <c r="R5" s="53"/>
      <c r="S5" s="53"/>
    </row>
    <row r="6" spans="2:19" x14ac:dyDescent="0.35">
      <c r="B6" t="s">
        <v>142</v>
      </c>
      <c r="C6" s="53">
        <v>100000</v>
      </c>
      <c r="E6">
        <f t="shared" si="3"/>
        <v>300</v>
      </c>
      <c r="F6" s="53">
        <f t="shared" si="0"/>
        <v>10699.588477366255</v>
      </c>
      <c r="G6" s="54">
        <f t="shared" si="1"/>
        <v>123182.44170096022</v>
      </c>
      <c r="H6" s="53">
        <f t="shared" si="2"/>
        <v>-112482.85322359396</v>
      </c>
      <c r="J6" s="53"/>
      <c r="K6" s="53"/>
      <c r="L6" s="53"/>
      <c r="Q6" s="53"/>
      <c r="R6" s="53"/>
      <c r="S6" s="53"/>
    </row>
    <row r="7" spans="2:19" x14ac:dyDescent="0.35">
      <c r="B7" t="s">
        <v>143</v>
      </c>
      <c r="C7" s="55">
        <v>0.08</v>
      </c>
      <c r="E7">
        <f t="shared" si="3"/>
        <v>400</v>
      </c>
      <c r="F7" s="53">
        <f t="shared" si="0"/>
        <v>14266.117969821673</v>
      </c>
      <c r="G7" s="54">
        <f t="shared" si="1"/>
        <v>124965.70644718793</v>
      </c>
      <c r="H7" s="53">
        <f t="shared" si="2"/>
        <v>-110699.58847736625</v>
      </c>
      <c r="J7" s="53"/>
      <c r="K7" s="53"/>
      <c r="L7" s="53"/>
      <c r="Q7" s="53"/>
      <c r="R7" s="53"/>
      <c r="S7" s="53"/>
    </row>
    <row r="8" spans="2:19" x14ac:dyDescent="0.35">
      <c r="E8">
        <f t="shared" si="3"/>
        <v>500</v>
      </c>
      <c r="F8" s="53">
        <f t="shared" si="0"/>
        <v>17832.647462277091</v>
      </c>
      <c r="G8" s="54">
        <f t="shared" si="1"/>
        <v>126748.97119341564</v>
      </c>
      <c r="H8" s="53">
        <f t="shared" si="2"/>
        <v>-108916.32373113855</v>
      </c>
      <c r="J8" s="53"/>
      <c r="K8" s="53"/>
      <c r="L8" s="53"/>
      <c r="Q8" s="53"/>
      <c r="R8" s="53"/>
      <c r="S8" s="53"/>
    </row>
    <row r="9" spans="2:19" x14ac:dyDescent="0.35">
      <c r="E9">
        <f t="shared" si="3"/>
        <v>600</v>
      </c>
      <c r="F9" s="53">
        <f t="shared" si="0"/>
        <v>21399.176954732509</v>
      </c>
      <c r="G9" s="54">
        <f t="shared" si="1"/>
        <v>128532.23593964335</v>
      </c>
      <c r="H9" s="53">
        <f t="shared" si="2"/>
        <v>-107133.05898491084</v>
      </c>
      <c r="J9" s="53"/>
      <c r="K9" s="53"/>
      <c r="L9" s="53"/>
      <c r="Q9" s="53"/>
      <c r="R9" s="53"/>
      <c r="S9" s="53"/>
    </row>
    <row r="10" spans="2:19" x14ac:dyDescent="0.35">
      <c r="E10">
        <f t="shared" si="3"/>
        <v>700</v>
      </c>
      <c r="F10" s="53">
        <f t="shared" si="0"/>
        <v>24965.706447187928</v>
      </c>
      <c r="G10" s="54">
        <f t="shared" si="1"/>
        <v>130315.50068587105</v>
      </c>
      <c r="H10" s="53">
        <f t="shared" si="2"/>
        <v>-105349.79423868313</v>
      </c>
      <c r="J10" s="53"/>
      <c r="K10" s="53"/>
      <c r="L10" s="53"/>
      <c r="Q10" s="53"/>
      <c r="R10" s="53"/>
      <c r="S10" s="53"/>
    </row>
    <row r="11" spans="2:19" x14ac:dyDescent="0.35">
      <c r="E11">
        <f t="shared" si="3"/>
        <v>800</v>
      </c>
      <c r="F11" s="53">
        <f t="shared" si="0"/>
        <v>28532.235939643346</v>
      </c>
      <c r="G11" s="54">
        <f t="shared" si="1"/>
        <v>132098.76543209876</v>
      </c>
      <c r="H11" s="53">
        <f t="shared" si="2"/>
        <v>-103566.52949245542</v>
      </c>
      <c r="J11" s="53"/>
      <c r="K11" s="53"/>
      <c r="L11" s="53"/>
      <c r="Q11" s="53"/>
      <c r="R11" s="53"/>
      <c r="S11" s="53"/>
    </row>
    <row r="12" spans="2:19" x14ac:dyDescent="0.35">
      <c r="E12">
        <f t="shared" si="3"/>
        <v>900</v>
      </c>
      <c r="F12" s="53">
        <f t="shared" si="0"/>
        <v>32098.765432098764</v>
      </c>
      <c r="G12" s="54">
        <f t="shared" si="1"/>
        <v>133882.03017832647</v>
      </c>
      <c r="H12" s="53">
        <f t="shared" si="2"/>
        <v>-101783.26474622771</v>
      </c>
      <c r="J12" s="53"/>
      <c r="K12" s="53"/>
      <c r="L12" s="53"/>
      <c r="Q12" s="53"/>
      <c r="R12" s="53"/>
      <c r="S12" s="53"/>
    </row>
    <row r="13" spans="2:19" x14ac:dyDescent="0.35">
      <c r="E13">
        <f t="shared" si="3"/>
        <v>1000</v>
      </c>
      <c r="F13" s="53">
        <f t="shared" si="0"/>
        <v>35665.294924554182</v>
      </c>
      <c r="G13" s="54">
        <f t="shared" si="1"/>
        <v>135665.29492455418</v>
      </c>
      <c r="H13" s="53">
        <f t="shared" si="2"/>
        <v>-100000</v>
      </c>
      <c r="J13" s="53"/>
      <c r="K13" s="53"/>
      <c r="L13" s="53"/>
      <c r="Q13" s="53"/>
      <c r="R13" s="53"/>
      <c r="S13" s="53"/>
    </row>
    <row r="14" spans="2:19" x14ac:dyDescent="0.35">
      <c r="E14">
        <f t="shared" si="3"/>
        <v>1100</v>
      </c>
      <c r="F14" s="53">
        <f t="shared" si="0"/>
        <v>39231.8244170096</v>
      </c>
      <c r="G14" s="54">
        <f t="shared" si="1"/>
        <v>137448.55967078189</v>
      </c>
      <c r="H14" s="53">
        <f t="shared" si="2"/>
        <v>-98216.735253772291</v>
      </c>
      <c r="J14" s="53"/>
      <c r="K14" s="53"/>
      <c r="L14" s="53"/>
      <c r="Q14" s="53"/>
      <c r="R14" s="53"/>
      <c r="S14" s="53"/>
    </row>
    <row r="15" spans="2:19" x14ac:dyDescent="0.35">
      <c r="E15">
        <f t="shared" si="3"/>
        <v>1200</v>
      </c>
      <c r="F15" s="53">
        <f t="shared" si="0"/>
        <v>42798.353909465019</v>
      </c>
      <c r="G15" s="54">
        <f t="shared" si="1"/>
        <v>139231.8244170096</v>
      </c>
      <c r="H15" s="53">
        <f t="shared" si="2"/>
        <v>-96433.470507544582</v>
      </c>
      <c r="J15" s="53"/>
      <c r="K15" s="53"/>
      <c r="L15" s="53"/>
      <c r="Q15" s="53"/>
      <c r="R15" s="53"/>
      <c r="S15" s="53"/>
    </row>
    <row r="16" spans="2:19" x14ac:dyDescent="0.35">
      <c r="E16">
        <f t="shared" si="3"/>
        <v>1300</v>
      </c>
      <c r="F16" s="53">
        <f t="shared" si="0"/>
        <v>46364.883401920437</v>
      </c>
      <c r="G16" s="54">
        <f t="shared" si="1"/>
        <v>141015.08916323731</v>
      </c>
      <c r="H16" s="53">
        <f t="shared" si="2"/>
        <v>-94650.205761316873</v>
      </c>
      <c r="J16" s="53"/>
      <c r="K16" s="53"/>
      <c r="L16" s="53"/>
      <c r="Q16" s="53"/>
      <c r="R16" s="53"/>
      <c r="S16" s="53"/>
    </row>
    <row r="17" spans="5:19" x14ac:dyDescent="0.35">
      <c r="E17">
        <f t="shared" si="3"/>
        <v>1400</v>
      </c>
      <c r="F17" s="53">
        <f t="shared" si="0"/>
        <v>49931.412894375855</v>
      </c>
      <c r="G17" s="54">
        <f t="shared" si="1"/>
        <v>142798.35390946502</v>
      </c>
      <c r="H17" s="53">
        <f t="shared" si="2"/>
        <v>-92866.941015089164</v>
      </c>
      <c r="J17" s="53"/>
      <c r="K17" s="53"/>
      <c r="L17" s="53"/>
      <c r="Q17" s="53"/>
      <c r="R17" s="53"/>
      <c r="S17" s="53"/>
    </row>
    <row r="18" spans="5:19" x14ac:dyDescent="0.35">
      <c r="E18">
        <f t="shared" si="3"/>
        <v>1500</v>
      </c>
      <c r="F18" s="53">
        <f t="shared" si="0"/>
        <v>53497.942386831273</v>
      </c>
      <c r="G18" s="54">
        <f t="shared" si="1"/>
        <v>144581.61865569273</v>
      </c>
      <c r="H18" s="53">
        <f t="shared" si="2"/>
        <v>-91083.676268861454</v>
      </c>
      <c r="J18" s="53"/>
      <c r="K18" s="53"/>
      <c r="L18" s="53"/>
      <c r="Q18" s="53"/>
      <c r="R18" s="53"/>
      <c r="S18" s="53"/>
    </row>
    <row r="19" spans="5:19" x14ac:dyDescent="0.35">
      <c r="E19">
        <f t="shared" si="3"/>
        <v>1600</v>
      </c>
      <c r="F19" s="53">
        <f t="shared" si="0"/>
        <v>57064.471879286692</v>
      </c>
      <c r="G19" s="54">
        <f t="shared" si="1"/>
        <v>146364.88340192044</v>
      </c>
      <c r="H19" s="53">
        <f t="shared" si="2"/>
        <v>-89300.411522633745</v>
      </c>
      <c r="J19" s="53"/>
      <c r="K19" s="53"/>
      <c r="L19" s="53"/>
      <c r="Q19" s="53"/>
      <c r="R19" s="53"/>
      <c r="S19" s="53"/>
    </row>
    <row r="20" spans="5:19" x14ac:dyDescent="0.35">
      <c r="E20">
        <f t="shared" si="3"/>
        <v>1700</v>
      </c>
      <c r="F20" s="53">
        <f t="shared" si="0"/>
        <v>60631.00137174211</v>
      </c>
      <c r="G20" s="54">
        <f t="shared" si="1"/>
        <v>148148.14814814815</v>
      </c>
      <c r="H20" s="53">
        <f t="shared" si="2"/>
        <v>-87517.146776406036</v>
      </c>
      <c r="J20" s="53"/>
      <c r="K20" s="53"/>
      <c r="L20" s="53"/>
      <c r="Q20" s="53"/>
      <c r="R20" s="53"/>
      <c r="S20" s="53"/>
    </row>
    <row r="21" spans="5:19" x14ac:dyDescent="0.35">
      <c r="E21">
        <f t="shared" si="3"/>
        <v>1800</v>
      </c>
      <c r="F21" s="53">
        <f t="shared" si="0"/>
        <v>64197.530864197528</v>
      </c>
      <c r="G21" s="54">
        <f t="shared" si="1"/>
        <v>149931.41289437586</v>
      </c>
      <c r="H21" s="53">
        <f t="shared" si="2"/>
        <v>-85733.882030178327</v>
      </c>
      <c r="J21" s="53"/>
      <c r="K21" s="53"/>
      <c r="L21" s="53"/>
      <c r="Q21" s="53"/>
      <c r="R21" s="53"/>
      <c r="S21" s="53"/>
    </row>
    <row r="22" spans="5:19" x14ac:dyDescent="0.35">
      <c r="E22">
        <f t="shared" si="3"/>
        <v>1900</v>
      </c>
      <c r="F22" s="53">
        <f t="shared" si="0"/>
        <v>67764.060356652946</v>
      </c>
      <c r="G22" s="54">
        <f t="shared" si="1"/>
        <v>151714.67764060356</v>
      </c>
      <c r="H22" s="53">
        <f t="shared" si="2"/>
        <v>-83950.617283950618</v>
      </c>
      <c r="J22" s="53"/>
      <c r="K22" s="53"/>
      <c r="L22" s="53"/>
      <c r="Q22" s="53"/>
      <c r="R22" s="53"/>
      <c r="S22" s="53"/>
    </row>
    <row r="23" spans="5:19" x14ac:dyDescent="0.35">
      <c r="E23">
        <f t="shared" si="3"/>
        <v>2000</v>
      </c>
      <c r="F23" s="53">
        <f t="shared" si="0"/>
        <v>71330.589849108364</v>
      </c>
      <c r="G23" s="54">
        <f t="shared" si="1"/>
        <v>153497.94238683127</v>
      </c>
      <c r="H23" s="53">
        <f t="shared" si="2"/>
        <v>-82167.352537722909</v>
      </c>
      <c r="J23" s="53"/>
      <c r="K23" s="53"/>
      <c r="L23" s="53"/>
      <c r="Q23" s="53"/>
      <c r="R23" s="53"/>
      <c r="S23" s="53"/>
    </row>
    <row r="24" spans="5:19" x14ac:dyDescent="0.35">
      <c r="E24">
        <f t="shared" si="3"/>
        <v>2100</v>
      </c>
      <c r="F24" s="53">
        <f t="shared" si="0"/>
        <v>74897.119341563783</v>
      </c>
      <c r="G24" s="54">
        <f t="shared" si="1"/>
        <v>155281.20713305898</v>
      </c>
      <c r="H24" s="53">
        <f t="shared" si="2"/>
        <v>-80384.0877914952</v>
      </c>
      <c r="J24" s="53"/>
      <c r="K24" s="53"/>
      <c r="L24" s="53"/>
      <c r="Q24" s="53"/>
      <c r="R24" s="53"/>
      <c r="S24" s="53"/>
    </row>
    <row r="25" spans="5:19" x14ac:dyDescent="0.35">
      <c r="E25">
        <f t="shared" si="3"/>
        <v>2200</v>
      </c>
      <c r="F25" s="53">
        <f t="shared" si="0"/>
        <v>78463.648834019201</v>
      </c>
      <c r="G25" s="54">
        <f t="shared" si="1"/>
        <v>157064.47187928669</v>
      </c>
      <c r="H25" s="53">
        <f t="shared" si="2"/>
        <v>-78600.823045267491</v>
      </c>
      <c r="J25" s="53"/>
      <c r="K25" s="53"/>
      <c r="L25" s="53"/>
      <c r="Q25" s="53"/>
      <c r="R25" s="53"/>
      <c r="S25" s="53"/>
    </row>
    <row r="26" spans="5:19" x14ac:dyDescent="0.35">
      <c r="E26">
        <f t="shared" si="3"/>
        <v>2300</v>
      </c>
      <c r="F26" s="53">
        <f t="shared" si="0"/>
        <v>82030.178326474619</v>
      </c>
      <c r="G26" s="54">
        <f t="shared" si="1"/>
        <v>158847.7366255144</v>
      </c>
      <c r="H26" s="53">
        <f t="shared" si="2"/>
        <v>-76817.558299039782</v>
      </c>
      <c r="J26" s="53"/>
      <c r="K26" s="53"/>
      <c r="L26" s="53"/>
      <c r="Q26" s="53"/>
      <c r="R26" s="53"/>
      <c r="S26" s="53"/>
    </row>
    <row r="27" spans="5:19" x14ac:dyDescent="0.35">
      <c r="E27">
        <f t="shared" si="3"/>
        <v>2400</v>
      </c>
      <c r="F27" s="53">
        <f t="shared" si="0"/>
        <v>85596.707818930037</v>
      </c>
      <c r="G27" s="54">
        <f t="shared" si="1"/>
        <v>160631.00137174211</v>
      </c>
      <c r="H27" s="53">
        <f t="shared" si="2"/>
        <v>-75034.293552812072</v>
      </c>
      <c r="J27" s="53"/>
      <c r="K27" s="53"/>
      <c r="L27" s="53"/>
      <c r="Q27" s="53"/>
      <c r="R27" s="53"/>
      <c r="S27" s="53"/>
    </row>
    <row r="28" spans="5:19" x14ac:dyDescent="0.35">
      <c r="E28">
        <f t="shared" si="3"/>
        <v>2500</v>
      </c>
      <c r="F28" s="53">
        <f t="shared" si="0"/>
        <v>89163.237311385456</v>
      </c>
      <c r="G28" s="54">
        <f t="shared" si="1"/>
        <v>162414.26611796982</v>
      </c>
      <c r="H28" s="53">
        <f t="shared" si="2"/>
        <v>-73251.028806584363</v>
      </c>
      <c r="J28" s="53"/>
      <c r="K28" s="53"/>
      <c r="L28" s="53"/>
      <c r="Q28" s="53"/>
      <c r="R28" s="53"/>
      <c r="S28" s="53"/>
    </row>
    <row r="29" spans="5:19" x14ac:dyDescent="0.35">
      <c r="E29">
        <f t="shared" si="3"/>
        <v>2600</v>
      </c>
      <c r="F29" s="53">
        <f t="shared" si="0"/>
        <v>92729.766803840874</v>
      </c>
      <c r="G29" s="54">
        <f t="shared" si="1"/>
        <v>164197.53086419753</v>
      </c>
      <c r="H29" s="53">
        <f t="shared" si="2"/>
        <v>-71467.764060356654</v>
      </c>
      <c r="J29" s="53"/>
      <c r="K29" s="53"/>
      <c r="L29" s="53"/>
      <c r="Q29" s="53"/>
      <c r="R29" s="53"/>
      <c r="S29" s="53"/>
    </row>
    <row r="30" spans="5:19" x14ac:dyDescent="0.35">
      <c r="E30">
        <f t="shared" si="3"/>
        <v>2700</v>
      </c>
      <c r="F30" s="53">
        <f t="shared" si="0"/>
        <v>96296.296296296292</v>
      </c>
      <c r="G30" s="54">
        <f t="shared" si="1"/>
        <v>165980.79561042524</v>
      </c>
      <c r="H30" s="53">
        <f t="shared" si="2"/>
        <v>-69684.499314128945</v>
      </c>
      <c r="J30" s="53"/>
      <c r="K30" s="53"/>
      <c r="L30" s="53"/>
      <c r="Q30" s="53"/>
      <c r="R30" s="53"/>
      <c r="S30" s="53"/>
    </row>
    <row r="31" spans="5:19" x14ac:dyDescent="0.35">
      <c r="E31">
        <f t="shared" si="3"/>
        <v>2800</v>
      </c>
      <c r="F31" s="53">
        <f t="shared" si="0"/>
        <v>99862.82578875171</v>
      </c>
      <c r="G31" s="54">
        <f t="shared" si="1"/>
        <v>167764.06035665295</v>
      </c>
      <c r="H31" s="53">
        <f t="shared" si="2"/>
        <v>-67901.234567901236</v>
      </c>
      <c r="J31" s="53"/>
      <c r="K31" s="53"/>
      <c r="L31" s="53"/>
      <c r="Q31" s="53"/>
      <c r="R31" s="53"/>
      <c r="S31" s="53"/>
    </row>
    <row r="32" spans="5:19" x14ac:dyDescent="0.35">
      <c r="E32">
        <f t="shared" si="3"/>
        <v>2900</v>
      </c>
      <c r="F32" s="53">
        <f t="shared" si="0"/>
        <v>103429.35528120713</v>
      </c>
      <c r="G32" s="54">
        <f t="shared" si="1"/>
        <v>169547.32510288066</v>
      </c>
      <c r="H32" s="53">
        <f t="shared" si="2"/>
        <v>-66117.969821673527</v>
      </c>
      <c r="J32" s="53"/>
      <c r="K32" s="53"/>
      <c r="L32" s="53"/>
      <c r="Q32" s="53"/>
      <c r="R32" s="53"/>
      <c r="S32" s="53"/>
    </row>
    <row r="33" spans="5:19" x14ac:dyDescent="0.35">
      <c r="E33">
        <f t="shared" si="3"/>
        <v>3000</v>
      </c>
      <c r="F33" s="53">
        <f t="shared" si="0"/>
        <v>106995.88477366255</v>
      </c>
      <c r="G33" s="54">
        <f t="shared" si="1"/>
        <v>171330.58984910836</v>
      </c>
      <c r="H33" s="53">
        <f t="shared" si="2"/>
        <v>-64334.705075445818</v>
      </c>
      <c r="J33" s="53"/>
      <c r="K33" s="53"/>
      <c r="L33" s="53"/>
      <c r="Q33" s="53"/>
      <c r="R33" s="53"/>
      <c r="S33" s="53"/>
    </row>
    <row r="34" spans="5:19" x14ac:dyDescent="0.35">
      <c r="E34">
        <f t="shared" si="3"/>
        <v>3100</v>
      </c>
      <c r="F34" s="53">
        <f t="shared" si="0"/>
        <v>110562.41426611796</v>
      </c>
      <c r="G34" s="54">
        <f t="shared" si="1"/>
        <v>173113.85459533607</v>
      </c>
      <c r="H34" s="53">
        <f t="shared" si="2"/>
        <v>-62551.440329218109</v>
      </c>
      <c r="J34" s="53"/>
      <c r="K34" s="53"/>
      <c r="L34" s="53"/>
      <c r="Q34" s="53"/>
      <c r="R34" s="53"/>
      <c r="S34" s="53"/>
    </row>
    <row r="35" spans="5:19" x14ac:dyDescent="0.35">
      <c r="E35">
        <f t="shared" si="3"/>
        <v>3200</v>
      </c>
      <c r="F35" s="53">
        <f t="shared" si="0"/>
        <v>114128.94375857338</v>
      </c>
      <c r="G35" s="54">
        <f t="shared" si="1"/>
        <v>174897.11934156378</v>
      </c>
      <c r="H35" s="53">
        <f t="shared" si="2"/>
        <v>-60768.1755829904</v>
      </c>
      <c r="J35" s="53"/>
      <c r="K35" s="53"/>
      <c r="L35" s="53"/>
      <c r="Q35" s="53"/>
      <c r="R35" s="53"/>
      <c r="S35" s="53"/>
    </row>
    <row r="36" spans="5:19" x14ac:dyDescent="0.35">
      <c r="E36">
        <f t="shared" si="3"/>
        <v>3300</v>
      </c>
      <c r="F36" s="53">
        <f t="shared" si="0"/>
        <v>117695.4732510288</v>
      </c>
      <c r="G36" s="54">
        <f t="shared" si="1"/>
        <v>176680.38408779149</v>
      </c>
      <c r="H36" s="53">
        <f t="shared" si="2"/>
        <v>-58984.91083676269</v>
      </c>
      <c r="J36" s="53"/>
      <c r="K36" s="53"/>
      <c r="L36" s="53"/>
      <c r="Q36" s="53"/>
      <c r="R36" s="53"/>
      <c r="S36" s="53"/>
    </row>
    <row r="37" spans="5:19" x14ac:dyDescent="0.35">
      <c r="E37">
        <f t="shared" si="3"/>
        <v>3400</v>
      </c>
      <c r="F37" s="53">
        <f t="shared" si="0"/>
        <v>121262.00274348422</v>
      </c>
      <c r="G37" s="54">
        <f t="shared" si="1"/>
        <v>178463.6488340192</v>
      </c>
      <c r="H37" s="53">
        <f t="shared" si="2"/>
        <v>-57201.646090534981</v>
      </c>
      <c r="J37" s="53"/>
      <c r="K37" s="53"/>
      <c r="L37" s="53"/>
      <c r="Q37" s="53"/>
      <c r="R37" s="53"/>
      <c r="S37" s="53"/>
    </row>
    <row r="38" spans="5:19" x14ac:dyDescent="0.35">
      <c r="E38">
        <f t="shared" si="3"/>
        <v>3500</v>
      </c>
      <c r="F38" s="53">
        <f t="shared" si="0"/>
        <v>124828.53223593964</v>
      </c>
      <c r="G38" s="54">
        <f t="shared" si="1"/>
        <v>180246.91358024691</v>
      </c>
      <c r="H38" s="53">
        <f t="shared" si="2"/>
        <v>-55418.381344307272</v>
      </c>
      <c r="J38" s="53"/>
      <c r="K38" s="53"/>
      <c r="L38" s="53"/>
      <c r="Q38" s="53"/>
      <c r="R38" s="53"/>
      <c r="S38" s="53"/>
    </row>
    <row r="39" spans="5:19" x14ac:dyDescent="0.35">
      <c r="E39">
        <f t="shared" si="3"/>
        <v>3600</v>
      </c>
      <c r="F39" s="53">
        <f t="shared" si="0"/>
        <v>128395.06172839506</v>
      </c>
      <c r="G39" s="54">
        <f t="shared" si="1"/>
        <v>182030.17832647462</v>
      </c>
      <c r="H39" s="53">
        <f t="shared" si="2"/>
        <v>-53635.116598079563</v>
      </c>
      <c r="J39" s="53"/>
      <c r="K39" s="53"/>
      <c r="L39" s="53"/>
      <c r="Q39" s="53"/>
      <c r="R39" s="53"/>
      <c r="S39" s="53"/>
    </row>
    <row r="40" spans="5:19" x14ac:dyDescent="0.35">
      <c r="E40">
        <f t="shared" si="3"/>
        <v>3700</v>
      </c>
      <c r="F40" s="53">
        <f t="shared" si="0"/>
        <v>131961.59122085047</v>
      </c>
      <c r="G40" s="54">
        <f t="shared" si="1"/>
        <v>183813.44307270233</v>
      </c>
      <c r="H40" s="53">
        <f t="shared" si="2"/>
        <v>-51851.851851851854</v>
      </c>
      <c r="J40" s="53"/>
      <c r="K40" s="53"/>
      <c r="L40" s="53"/>
      <c r="Q40" s="53"/>
      <c r="R40" s="53"/>
      <c r="S40" s="53"/>
    </row>
    <row r="41" spans="5:19" x14ac:dyDescent="0.35">
      <c r="E41">
        <f t="shared" si="3"/>
        <v>3800</v>
      </c>
      <c r="F41" s="53">
        <f t="shared" si="0"/>
        <v>135528.12071330589</v>
      </c>
      <c r="G41" s="54">
        <f t="shared" si="1"/>
        <v>185596.70781893004</v>
      </c>
      <c r="H41" s="53">
        <f t="shared" si="2"/>
        <v>-50068.587105624145</v>
      </c>
      <c r="J41" s="53"/>
      <c r="K41" s="53"/>
      <c r="L41" s="53"/>
      <c r="Q41" s="53"/>
      <c r="R41" s="53"/>
      <c r="S41" s="53"/>
    </row>
    <row r="42" spans="5:19" x14ac:dyDescent="0.35">
      <c r="E42">
        <f t="shared" si="3"/>
        <v>3900</v>
      </c>
      <c r="F42" s="53">
        <f t="shared" si="0"/>
        <v>139094.65020576131</v>
      </c>
      <c r="G42" s="54">
        <f t="shared" si="1"/>
        <v>187379.97256515775</v>
      </c>
      <c r="H42" s="53">
        <f t="shared" si="2"/>
        <v>-48285.322359396436</v>
      </c>
      <c r="J42" s="53"/>
      <c r="K42" s="53"/>
      <c r="L42" s="53"/>
      <c r="Q42" s="53"/>
      <c r="R42" s="53"/>
      <c r="S42" s="53"/>
    </row>
    <row r="43" spans="5:19" x14ac:dyDescent="0.35">
      <c r="E43">
        <f t="shared" si="3"/>
        <v>4000</v>
      </c>
      <c r="F43" s="53">
        <f t="shared" si="0"/>
        <v>142661.17969821673</v>
      </c>
      <c r="G43" s="54">
        <f t="shared" si="1"/>
        <v>189163.23731138546</v>
      </c>
      <c r="H43" s="53">
        <f t="shared" si="2"/>
        <v>-46502.057613168727</v>
      </c>
      <c r="J43" s="53"/>
      <c r="K43" s="53"/>
      <c r="L43" s="53"/>
      <c r="Q43" s="53"/>
      <c r="R43" s="53"/>
      <c r="S43" s="53"/>
    </row>
    <row r="44" spans="5:19" x14ac:dyDescent="0.35">
      <c r="E44">
        <f t="shared" si="3"/>
        <v>4100</v>
      </c>
      <c r="F44" s="53">
        <f t="shared" si="0"/>
        <v>146227.70919067215</v>
      </c>
      <c r="G44" s="54">
        <f t="shared" si="1"/>
        <v>190946.50205761316</v>
      </c>
      <c r="H44" s="53">
        <f t="shared" si="2"/>
        <v>-44718.792866941018</v>
      </c>
      <c r="J44" s="53"/>
      <c r="K44" s="53"/>
      <c r="L44" s="53"/>
      <c r="Q44" s="53"/>
      <c r="R44" s="53"/>
      <c r="S44" s="53"/>
    </row>
    <row r="45" spans="5:19" x14ac:dyDescent="0.35">
      <c r="E45">
        <f t="shared" si="3"/>
        <v>4200</v>
      </c>
      <c r="F45" s="53">
        <f t="shared" si="0"/>
        <v>149794.23868312757</v>
      </c>
      <c r="G45" s="54">
        <f t="shared" si="1"/>
        <v>192729.76680384087</v>
      </c>
      <c r="H45" s="53">
        <f t="shared" si="2"/>
        <v>-42935.528120713308</v>
      </c>
      <c r="J45" s="53"/>
      <c r="K45" s="53"/>
      <c r="L45" s="53"/>
      <c r="Q45" s="53"/>
      <c r="R45" s="53"/>
      <c r="S45" s="53"/>
    </row>
    <row r="46" spans="5:19" x14ac:dyDescent="0.35">
      <c r="E46">
        <f t="shared" si="3"/>
        <v>4300</v>
      </c>
      <c r="F46" s="53">
        <f t="shared" si="0"/>
        <v>153360.76817558298</v>
      </c>
      <c r="G46" s="54">
        <f t="shared" si="1"/>
        <v>194513.03155006858</v>
      </c>
      <c r="H46" s="53">
        <f t="shared" si="2"/>
        <v>-41152.263374485599</v>
      </c>
      <c r="J46" s="53"/>
      <c r="K46" s="53"/>
      <c r="L46" s="53"/>
      <c r="Q46" s="53"/>
      <c r="R46" s="53"/>
      <c r="S46" s="53"/>
    </row>
    <row r="47" spans="5:19" x14ac:dyDescent="0.35">
      <c r="E47">
        <f t="shared" si="3"/>
        <v>4400</v>
      </c>
      <c r="F47" s="53">
        <f t="shared" si="0"/>
        <v>156927.2976680384</v>
      </c>
      <c r="G47" s="54">
        <f t="shared" si="1"/>
        <v>196296.29629629629</v>
      </c>
      <c r="H47" s="53">
        <f t="shared" si="2"/>
        <v>-39368.99862825789</v>
      </c>
      <c r="J47" s="53"/>
      <c r="K47" s="53"/>
      <c r="L47" s="53"/>
      <c r="Q47" s="53"/>
      <c r="R47" s="53"/>
      <c r="S47" s="53"/>
    </row>
    <row r="48" spans="5:19" x14ac:dyDescent="0.35">
      <c r="E48">
        <f t="shared" si="3"/>
        <v>4500</v>
      </c>
      <c r="F48" s="53">
        <f t="shared" si="0"/>
        <v>160493.82716049382</v>
      </c>
      <c r="G48" s="54">
        <f t="shared" si="1"/>
        <v>198079.561042524</v>
      </c>
      <c r="H48" s="53">
        <f t="shared" si="2"/>
        <v>-37585.733882030181</v>
      </c>
      <c r="J48" s="53"/>
      <c r="K48" s="53"/>
      <c r="L48" s="53"/>
      <c r="Q48" s="53"/>
      <c r="R48" s="53"/>
      <c r="S48" s="53"/>
    </row>
    <row r="49" spans="5:19" x14ac:dyDescent="0.35">
      <c r="E49">
        <f t="shared" si="3"/>
        <v>4600</v>
      </c>
      <c r="F49" s="53">
        <f t="shared" si="0"/>
        <v>164060.35665294924</v>
      </c>
      <c r="G49" s="54">
        <f t="shared" si="1"/>
        <v>199862.82578875171</v>
      </c>
      <c r="H49" s="53">
        <f t="shared" si="2"/>
        <v>-35802.469135802472</v>
      </c>
      <c r="J49" s="53"/>
      <c r="K49" s="53"/>
      <c r="L49" s="53"/>
      <c r="Q49" s="53"/>
      <c r="R49" s="53"/>
      <c r="S49" s="53"/>
    </row>
    <row r="50" spans="5:19" x14ac:dyDescent="0.35">
      <c r="E50">
        <f t="shared" si="3"/>
        <v>4700</v>
      </c>
      <c r="F50" s="53">
        <f t="shared" si="0"/>
        <v>167626.88614540466</v>
      </c>
      <c r="G50" s="54">
        <f t="shared" si="1"/>
        <v>201646.09053497942</v>
      </c>
      <c r="H50" s="53">
        <f t="shared" si="2"/>
        <v>-34019.204389574763</v>
      </c>
      <c r="J50" s="53"/>
      <c r="K50" s="53"/>
      <c r="L50" s="53"/>
      <c r="Q50" s="53"/>
      <c r="R50" s="53"/>
      <c r="S50" s="53"/>
    </row>
    <row r="51" spans="5:19" x14ac:dyDescent="0.35">
      <c r="E51">
        <f t="shared" si="3"/>
        <v>4800</v>
      </c>
      <c r="F51" s="53">
        <f t="shared" si="0"/>
        <v>171193.41563786007</v>
      </c>
      <c r="G51" s="54">
        <f t="shared" si="1"/>
        <v>203429.35528120713</v>
      </c>
      <c r="H51" s="53">
        <f t="shared" si="2"/>
        <v>-32235.939643347054</v>
      </c>
      <c r="J51" s="53"/>
      <c r="K51" s="53"/>
      <c r="L51" s="53"/>
      <c r="Q51" s="53"/>
      <c r="R51" s="53"/>
      <c r="S51" s="53"/>
    </row>
    <row r="52" spans="5:19" x14ac:dyDescent="0.35">
      <c r="E52">
        <f t="shared" si="3"/>
        <v>4900</v>
      </c>
      <c r="F52" s="53">
        <f t="shared" si="0"/>
        <v>174759.94513031549</v>
      </c>
      <c r="G52" s="54">
        <f t="shared" si="1"/>
        <v>205212.62002743484</v>
      </c>
      <c r="H52" s="53">
        <f t="shared" si="2"/>
        <v>-30452.674897119345</v>
      </c>
      <c r="J52" s="53"/>
      <c r="K52" s="53"/>
      <c r="L52" s="53"/>
      <c r="Q52" s="53"/>
      <c r="R52" s="53"/>
      <c r="S52" s="53"/>
    </row>
    <row r="53" spans="5:19" x14ac:dyDescent="0.35">
      <c r="E53">
        <f t="shared" si="3"/>
        <v>5000</v>
      </c>
      <c r="F53" s="53">
        <f t="shared" si="0"/>
        <v>178326.47462277091</v>
      </c>
      <c r="G53" s="54">
        <f t="shared" si="1"/>
        <v>206995.88477366255</v>
      </c>
      <c r="H53" s="53">
        <f t="shared" si="2"/>
        <v>-28669.410150891636</v>
      </c>
      <c r="J53" s="53"/>
      <c r="K53" s="53"/>
      <c r="L53" s="53"/>
      <c r="Q53" s="53"/>
      <c r="R53" s="53"/>
      <c r="S53" s="53"/>
    </row>
    <row r="54" spans="5:19" x14ac:dyDescent="0.35">
      <c r="E54">
        <f t="shared" si="3"/>
        <v>5100</v>
      </c>
      <c r="F54" s="53">
        <f t="shared" si="0"/>
        <v>181893.00411522633</v>
      </c>
      <c r="G54" s="54">
        <f t="shared" si="1"/>
        <v>208779.14951989026</v>
      </c>
      <c r="H54" s="53">
        <f t="shared" si="2"/>
        <v>-26886.145404663926</v>
      </c>
      <c r="J54" s="53"/>
      <c r="K54" s="53"/>
      <c r="L54" s="53"/>
      <c r="Q54" s="53"/>
      <c r="R54" s="53"/>
      <c r="S54" s="53"/>
    </row>
    <row r="55" spans="5:19" x14ac:dyDescent="0.35">
      <c r="E55">
        <f t="shared" si="3"/>
        <v>5200</v>
      </c>
      <c r="F55" s="53">
        <f t="shared" si="0"/>
        <v>185459.53360768175</v>
      </c>
      <c r="G55" s="54">
        <f t="shared" si="1"/>
        <v>210562.41426611796</v>
      </c>
      <c r="H55" s="53">
        <f t="shared" si="2"/>
        <v>-25102.880658436217</v>
      </c>
      <c r="J55" s="53"/>
      <c r="K55" s="53"/>
      <c r="L55" s="53"/>
      <c r="Q55" s="53"/>
      <c r="R55" s="53"/>
      <c r="S55" s="53"/>
    </row>
    <row r="56" spans="5:19" x14ac:dyDescent="0.35">
      <c r="E56">
        <f t="shared" si="3"/>
        <v>5300</v>
      </c>
      <c r="F56" s="53">
        <f t="shared" si="0"/>
        <v>189026.06310013717</v>
      </c>
      <c r="G56" s="54">
        <f t="shared" si="1"/>
        <v>212345.67901234567</v>
      </c>
      <c r="H56" s="53">
        <f t="shared" si="2"/>
        <v>-23319.615912208508</v>
      </c>
      <c r="J56" s="53"/>
      <c r="K56" s="53"/>
      <c r="L56" s="53"/>
      <c r="Q56" s="53"/>
      <c r="R56" s="53"/>
      <c r="S56" s="53"/>
    </row>
    <row r="57" spans="5:19" x14ac:dyDescent="0.35">
      <c r="E57">
        <f t="shared" si="3"/>
        <v>5400</v>
      </c>
      <c r="F57" s="53">
        <f t="shared" si="0"/>
        <v>192592.59259259258</v>
      </c>
      <c r="G57" s="54">
        <f t="shared" si="1"/>
        <v>214128.94375857338</v>
      </c>
      <c r="H57" s="53">
        <f t="shared" si="2"/>
        <v>-21536.351165980799</v>
      </c>
      <c r="J57" s="53"/>
      <c r="K57" s="53"/>
      <c r="L57" s="53"/>
      <c r="Q57" s="53"/>
      <c r="R57" s="53"/>
      <c r="S57" s="53"/>
    </row>
    <row r="58" spans="5:19" x14ac:dyDescent="0.35">
      <c r="E58">
        <f t="shared" si="3"/>
        <v>5500</v>
      </c>
      <c r="F58" s="53">
        <f t="shared" si="0"/>
        <v>196159.122085048</v>
      </c>
      <c r="G58" s="54">
        <f t="shared" si="1"/>
        <v>215912.20850480109</v>
      </c>
      <c r="H58" s="53">
        <f t="shared" si="2"/>
        <v>-19753.08641975309</v>
      </c>
      <c r="J58" s="53"/>
      <c r="K58" s="53"/>
      <c r="L58" s="53"/>
      <c r="Q58" s="53"/>
      <c r="R58" s="53"/>
      <c r="S58" s="53"/>
    </row>
    <row r="59" spans="5:19" x14ac:dyDescent="0.35">
      <c r="E59">
        <f t="shared" si="3"/>
        <v>5600</v>
      </c>
      <c r="F59" s="53">
        <f t="shared" si="0"/>
        <v>199725.65157750342</v>
      </c>
      <c r="G59" s="54">
        <f t="shared" si="1"/>
        <v>217695.4732510288</v>
      </c>
      <c r="H59" s="53">
        <f t="shared" si="2"/>
        <v>-17969.821673525381</v>
      </c>
      <c r="J59" s="53"/>
      <c r="K59" s="53"/>
      <c r="L59" s="53"/>
      <c r="Q59" s="53"/>
      <c r="R59" s="53"/>
      <c r="S59" s="53"/>
    </row>
    <row r="60" spans="5:19" x14ac:dyDescent="0.35">
      <c r="E60">
        <f t="shared" si="3"/>
        <v>5700</v>
      </c>
      <c r="F60" s="53">
        <f t="shared" si="0"/>
        <v>203292.18106995884</v>
      </c>
      <c r="G60" s="54">
        <f t="shared" si="1"/>
        <v>219478.73799725651</v>
      </c>
      <c r="H60" s="53">
        <f t="shared" si="2"/>
        <v>-16186.556927297672</v>
      </c>
      <c r="J60" s="53"/>
      <c r="K60" s="53"/>
      <c r="L60" s="53"/>
      <c r="Q60" s="53"/>
      <c r="R60" s="53"/>
      <c r="S60" s="53"/>
    </row>
    <row r="61" spans="5:19" x14ac:dyDescent="0.35">
      <c r="E61">
        <f t="shared" si="3"/>
        <v>5800</v>
      </c>
      <c r="F61" s="53">
        <f t="shared" si="0"/>
        <v>206858.71056241426</v>
      </c>
      <c r="G61" s="54">
        <f t="shared" si="1"/>
        <v>221262.00274348422</v>
      </c>
      <c r="H61" s="53">
        <f t="shared" si="2"/>
        <v>-14403.292181069963</v>
      </c>
      <c r="J61" s="53"/>
      <c r="K61" s="53"/>
      <c r="L61" s="53"/>
      <c r="Q61" s="53"/>
      <c r="R61" s="53"/>
      <c r="S61" s="53"/>
    </row>
    <row r="62" spans="5:19" x14ac:dyDescent="0.35">
      <c r="E62">
        <f t="shared" si="3"/>
        <v>5900</v>
      </c>
      <c r="F62" s="53">
        <f t="shared" si="0"/>
        <v>210425.24005486968</v>
      </c>
      <c r="G62" s="54">
        <f t="shared" si="1"/>
        <v>223045.26748971193</v>
      </c>
      <c r="H62" s="53">
        <f t="shared" si="2"/>
        <v>-12620.027434842254</v>
      </c>
      <c r="J62" s="53"/>
      <c r="K62" s="53"/>
      <c r="L62" s="53"/>
      <c r="Q62" s="53"/>
      <c r="R62" s="53"/>
      <c r="S62" s="53"/>
    </row>
    <row r="63" spans="5:19" x14ac:dyDescent="0.35">
      <c r="E63">
        <f t="shared" si="3"/>
        <v>6000</v>
      </c>
      <c r="F63" s="53">
        <f t="shared" si="0"/>
        <v>213991.76954732509</v>
      </c>
      <c r="G63" s="54">
        <f t="shared" si="1"/>
        <v>224828.53223593964</v>
      </c>
      <c r="H63" s="53">
        <f t="shared" si="2"/>
        <v>-10836.762688614544</v>
      </c>
      <c r="J63" s="53"/>
      <c r="K63" s="53"/>
      <c r="L63" s="53"/>
      <c r="Q63" s="53"/>
      <c r="R63" s="53"/>
      <c r="S63" s="53"/>
    </row>
    <row r="64" spans="5:19" x14ac:dyDescent="0.35">
      <c r="E64">
        <f t="shared" si="3"/>
        <v>6100</v>
      </c>
      <c r="F64" s="53">
        <f t="shared" si="0"/>
        <v>217558.29903978051</v>
      </c>
      <c r="G64" s="54">
        <f t="shared" si="1"/>
        <v>226611.79698216735</v>
      </c>
      <c r="H64" s="53">
        <f t="shared" si="2"/>
        <v>-9053.4979423868353</v>
      </c>
      <c r="J64" s="53"/>
      <c r="K64" s="53"/>
      <c r="L64" s="53"/>
      <c r="Q64" s="53"/>
      <c r="R64" s="53"/>
      <c r="S64" s="53"/>
    </row>
    <row r="65" spans="5:19" x14ac:dyDescent="0.35">
      <c r="E65">
        <f t="shared" si="3"/>
        <v>6200</v>
      </c>
      <c r="F65" s="53">
        <f t="shared" si="0"/>
        <v>221124.82853223593</v>
      </c>
      <c r="G65" s="54">
        <f t="shared" si="1"/>
        <v>228395.06172839506</v>
      </c>
      <c r="H65" s="53">
        <f t="shared" si="2"/>
        <v>-7270.2331961591262</v>
      </c>
      <c r="J65" s="53"/>
      <c r="K65" s="53"/>
      <c r="L65" s="53"/>
      <c r="Q65" s="53"/>
      <c r="R65" s="53"/>
      <c r="S65" s="53"/>
    </row>
    <row r="66" spans="5:19" x14ac:dyDescent="0.35">
      <c r="E66">
        <f t="shared" si="3"/>
        <v>6300</v>
      </c>
      <c r="F66" s="53">
        <f t="shared" si="0"/>
        <v>224691.35802469135</v>
      </c>
      <c r="G66" s="54">
        <f t="shared" si="1"/>
        <v>230178.32647462277</v>
      </c>
      <c r="H66" s="53">
        <f t="shared" si="2"/>
        <v>-5486.9684499314171</v>
      </c>
      <c r="J66" s="53"/>
      <c r="K66" s="53"/>
      <c r="L66" s="53"/>
      <c r="Q66" s="53"/>
      <c r="R66" s="53"/>
      <c r="S66" s="53"/>
    </row>
    <row r="67" spans="5:19" x14ac:dyDescent="0.35">
      <c r="E67">
        <f t="shared" si="3"/>
        <v>6400</v>
      </c>
      <c r="F67" s="53">
        <f t="shared" si="0"/>
        <v>228257.88751714677</v>
      </c>
      <c r="G67" s="54">
        <f t="shared" si="1"/>
        <v>231961.59122085047</v>
      </c>
      <c r="H67" s="53">
        <f t="shared" si="2"/>
        <v>-3703.703703703708</v>
      </c>
      <c r="J67" s="53"/>
      <c r="K67" s="53"/>
      <c r="L67" s="53"/>
      <c r="Q67" s="53"/>
      <c r="R67" s="53"/>
      <c r="S67" s="53"/>
    </row>
    <row r="68" spans="5:19" x14ac:dyDescent="0.35">
      <c r="E68">
        <f t="shared" si="3"/>
        <v>6500</v>
      </c>
      <c r="F68" s="53">
        <f t="shared" ref="F68:F103" si="4">+$C$3*$E68/(1+$C$7)^1 + $C$3*$E68/(1+$C$7)^2</f>
        <v>231824.41700960218</v>
      </c>
      <c r="G68" s="54">
        <f t="shared" ref="G68:G103" si="5">+($C$4*$E68+$C$5)/(1+$C$7)^1 + ($C$4*$E68+$C$5)/(1+$C$7)^2 +$C$6</f>
        <v>233744.85596707818</v>
      </c>
      <c r="H68" s="53">
        <f t="shared" ref="H68:H103" si="6">+F68-G68</f>
        <v>-1920.4389574759989</v>
      </c>
      <c r="J68" s="53"/>
      <c r="K68" s="53"/>
      <c r="L68" s="53"/>
      <c r="Q68" s="53"/>
      <c r="R68" s="53"/>
      <c r="S68" s="53"/>
    </row>
    <row r="69" spans="5:19" x14ac:dyDescent="0.35">
      <c r="E69">
        <f t="shared" si="3"/>
        <v>6600</v>
      </c>
      <c r="F69" s="53">
        <f t="shared" si="4"/>
        <v>235390.9465020576</v>
      </c>
      <c r="G69" s="54">
        <f t="shared" si="5"/>
        <v>235528.12071330589</v>
      </c>
      <c r="H69" s="53">
        <f t="shared" si="6"/>
        <v>-137.17421124828979</v>
      </c>
      <c r="J69" s="53"/>
      <c r="K69" s="53"/>
      <c r="L69" s="53"/>
      <c r="Q69" s="53"/>
      <c r="R69" s="53"/>
      <c r="S69" s="53"/>
    </row>
    <row r="70" spans="5:19" x14ac:dyDescent="0.35">
      <c r="E70">
        <f t="shared" si="3"/>
        <v>6700</v>
      </c>
      <c r="F70" s="53">
        <f t="shared" si="4"/>
        <v>238957.47599451302</v>
      </c>
      <c r="G70" s="54">
        <f t="shared" si="5"/>
        <v>237311.3854595336</v>
      </c>
      <c r="H70" s="53">
        <f t="shared" si="6"/>
        <v>1646.0905349794193</v>
      </c>
      <c r="J70" s="53"/>
      <c r="K70" s="53"/>
      <c r="L70" s="53"/>
      <c r="Q70" s="53"/>
      <c r="R70" s="53"/>
      <c r="S70" s="53"/>
    </row>
    <row r="71" spans="5:19" x14ac:dyDescent="0.35">
      <c r="E71">
        <f t="shared" ref="E71:E103" si="7">+E70+100</f>
        <v>6800</v>
      </c>
      <c r="F71" s="53">
        <f t="shared" si="4"/>
        <v>242524.00548696844</v>
      </c>
      <c r="G71" s="54">
        <f t="shared" si="5"/>
        <v>239094.65020576131</v>
      </c>
      <c r="H71" s="53">
        <f t="shared" si="6"/>
        <v>3429.3552812071284</v>
      </c>
      <c r="J71" s="53"/>
      <c r="K71" s="53"/>
      <c r="L71" s="53"/>
      <c r="Q71" s="53"/>
      <c r="R71" s="53"/>
      <c r="S71" s="53"/>
    </row>
    <row r="72" spans="5:19" x14ac:dyDescent="0.35">
      <c r="E72">
        <f t="shared" si="7"/>
        <v>6900</v>
      </c>
      <c r="F72" s="53">
        <f t="shared" si="4"/>
        <v>246090.53497942386</v>
      </c>
      <c r="G72" s="54">
        <f t="shared" si="5"/>
        <v>240877.91495198902</v>
      </c>
      <c r="H72" s="53">
        <f t="shared" si="6"/>
        <v>5212.6200274348375</v>
      </c>
      <c r="J72" s="53"/>
      <c r="K72" s="53"/>
      <c r="L72" s="53"/>
      <c r="Q72" s="53"/>
      <c r="R72" s="53"/>
      <c r="S72" s="53"/>
    </row>
    <row r="73" spans="5:19" x14ac:dyDescent="0.35">
      <c r="E73">
        <f t="shared" si="7"/>
        <v>7000</v>
      </c>
      <c r="F73" s="53">
        <f t="shared" si="4"/>
        <v>249657.06447187928</v>
      </c>
      <c r="G73" s="54">
        <f t="shared" si="5"/>
        <v>242661.17969821673</v>
      </c>
      <c r="H73" s="53">
        <f t="shared" si="6"/>
        <v>6995.8847736625466</v>
      </c>
      <c r="J73" s="53"/>
      <c r="K73" s="53"/>
      <c r="L73" s="53"/>
      <c r="Q73" s="53"/>
      <c r="R73" s="53"/>
      <c r="S73" s="53"/>
    </row>
    <row r="74" spans="5:19" x14ac:dyDescent="0.35">
      <c r="E74">
        <f t="shared" si="7"/>
        <v>7100</v>
      </c>
      <c r="F74" s="53">
        <f t="shared" si="4"/>
        <v>253223.59396433469</v>
      </c>
      <c r="G74" s="54">
        <f t="shared" si="5"/>
        <v>244444.44444444444</v>
      </c>
      <c r="H74" s="53">
        <f t="shared" si="6"/>
        <v>8779.1495198902558</v>
      </c>
      <c r="J74" s="53"/>
      <c r="K74" s="53"/>
      <c r="L74" s="53"/>
      <c r="Q74" s="53"/>
      <c r="R74" s="53"/>
      <c r="S74" s="53"/>
    </row>
    <row r="75" spans="5:19" x14ac:dyDescent="0.35">
      <c r="E75">
        <f t="shared" si="7"/>
        <v>7200</v>
      </c>
      <c r="F75" s="53">
        <f t="shared" si="4"/>
        <v>256790.12345679011</v>
      </c>
      <c r="G75" s="54">
        <f t="shared" si="5"/>
        <v>246227.70919067215</v>
      </c>
      <c r="H75" s="53">
        <f t="shared" si="6"/>
        <v>10562.414266117965</v>
      </c>
      <c r="J75" s="53"/>
      <c r="K75" s="53"/>
      <c r="L75" s="53"/>
      <c r="Q75" s="53"/>
      <c r="R75" s="53"/>
      <c r="S75" s="53"/>
    </row>
    <row r="76" spans="5:19" x14ac:dyDescent="0.35">
      <c r="E76">
        <f t="shared" si="7"/>
        <v>7300</v>
      </c>
      <c r="F76" s="53">
        <f t="shared" si="4"/>
        <v>260356.65294924553</v>
      </c>
      <c r="G76" s="54">
        <f t="shared" si="5"/>
        <v>248010.97393689986</v>
      </c>
      <c r="H76" s="53">
        <f t="shared" si="6"/>
        <v>12345.679012345674</v>
      </c>
      <c r="J76" s="53"/>
      <c r="K76" s="53"/>
      <c r="L76" s="53"/>
      <c r="Q76" s="53"/>
      <c r="R76" s="53"/>
      <c r="S76" s="53"/>
    </row>
    <row r="77" spans="5:19" x14ac:dyDescent="0.35">
      <c r="E77">
        <f t="shared" si="7"/>
        <v>7400</v>
      </c>
      <c r="F77" s="53">
        <f t="shared" si="4"/>
        <v>263923.18244170095</v>
      </c>
      <c r="G77" s="54">
        <f t="shared" si="5"/>
        <v>249794.23868312757</v>
      </c>
      <c r="H77" s="53">
        <f t="shared" si="6"/>
        <v>14128.943758573383</v>
      </c>
      <c r="J77" s="53"/>
      <c r="K77" s="53"/>
      <c r="L77" s="53"/>
      <c r="Q77" s="53"/>
      <c r="R77" s="53"/>
      <c r="S77" s="53"/>
    </row>
    <row r="78" spans="5:19" x14ac:dyDescent="0.35">
      <c r="E78">
        <f t="shared" si="7"/>
        <v>7500</v>
      </c>
      <c r="F78" s="53">
        <f t="shared" si="4"/>
        <v>267489.71193415637</v>
      </c>
      <c r="G78" s="54">
        <f t="shared" si="5"/>
        <v>251577.50342935527</v>
      </c>
      <c r="H78" s="53">
        <f t="shared" si="6"/>
        <v>15912.208504801092</v>
      </c>
      <c r="J78" s="53"/>
      <c r="K78" s="53"/>
      <c r="L78" s="53"/>
      <c r="Q78" s="53"/>
      <c r="R78" s="53"/>
      <c r="S78" s="53"/>
    </row>
    <row r="79" spans="5:19" x14ac:dyDescent="0.35">
      <c r="E79">
        <f t="shared" si="7"/>
        <v>7600</v>
      </c>
      <c r="F79" s="53">
        <f t="shared" si="4"/>
        <v>271056.24142661178</v>
      </c>
      <c r="G79" s="54">
        <f t="shared" si="5"/>
        <v>253360.76817558298</v>
      </c>
      <c r="H79" s="53">
        <f t="shared" si="6"/>
        <v>17695.473251028801</v>
      </c>
      <c r="J79" s="53"/>
      <c r="K79" s="53"/>
      <c r="L79" s="53"/>
      <c r="Q79" s="53"/>
      <c r="R79" s="53"/>
      <c r="S79" s="53"/>
    </row>
    <row r="80" spans="5:19" x14ac:dyDescent="0.35">
      <c r="E80">
        <f t="shared" si="7"/>
        <v>7700</v>
      </c>
      <c r="F80" s="53">
        <f t="shared" si="4"/>
        <v>274622.7709190672</v>
      </c>
      <c r="G80" s="54">
        <f t="shared" si="5"/>
        <v>255144.03292181069</v>
      </c>
      <c r="H80" s="53">
        <f t="shared" si="6"/>
        <v>19478.73799725651</v>
      </c>
      <c r="J80" s="53"/>
      <c r="K80" s="53"/>
      <c r="L80" s="53"/>
      <c r="Q80" s="53"/>
      <c r="R80" s="53"/>
      <c r="S80" s="53"/>
    </row>
    <row r="81" spans="5:19" x14ac:dyDescent="0.35">
      <c r="E81">
        <f t="shared" si="7"/>
        <v>7800</v>
      </c>
      <c r="F81" s="53">
        <f t="shared" si="4"/>
        <v>278189.30041152262</v>
      </c>
      <c r="G81" s="54">
        <f t="shared" si="5"/>
        <v>256927.2976680384</v>
      </c>
      <c r="H81" s="53">
        <f t="shared" si="6"/>
        <v>21262.00274348422</v>
      </c>
      <c r="J81" s="53"/>
      <c r="K81" s="53"/>
      <c r="L81" s="53"/>
      <c r="Q81" s="53"/>
      <c r="R81" s="53"/>
      <c r="S81" s="53"/>
    </row>
    <row r="82" spans="5:19" x14ac:dyDescent="0.35">
      <c r="E82">
        <f t="shared" si="7"/>
        <v>7900</v>
      </c>
      <c r="F82" s="53">
        <f t="shared" si="4"/>
        <v>281755.82990397804</v>
      </c>
      <c r="G82" s="54">
        <f t="shared" si="5"/>
        <v>258710.56241426611</v>
      </c>
      <c r="H82" s="53">
        <f t="shared" si="6"/>
        <v>23045.267489711929</v>
      </c>
      <c r="J82" s="53"/>
      <c r="K82" s="53"/>
      <c r="L82" s="53"/>
      <c r="Q82" s="53"/>
      <c r="R82" s="53"/>
      <c r="S82" s="53"/>
    </row>
    <row r="83" spans="5:19" x14ac:dyDescent="0.35">
      <c r="E83">
        <f t="shared" si="7"/>
        <v>8000</v>
      </c>
      <c r="F83" s="53">
        <f t="shared" si="4"/>
        <v>285322.35939643346</v>
      </c>
      <c r="G83" s="54">
        <f t="shared" si="5"/>
        <v>260493.82716049382</v>
      </c>
      <c r="H83" s="53">
        <f t="shared" si="6"/>
        <v>24828.532235939638</v>
      </c>
      <c r="J83" s="53"/>
      <c r="K83" s="53"/>
      <c r="L83" s="53"/>
      <c r="Q83" s="53"/>
      <c r="R83" s="53"/>
      <c r="S83" s="53"/>
    </row>
    <row r="84" spans="5:19" x14ac:dyDescent="0.35">
      <c r="E84">
        <f t="shared" si="7"/>
        <v>8100</v>
      </c>
      <c r="F84" s="53">
        <f t="shared" si="4"/>
        <v>288888.88888888888</v>
      </c>
      <c r="G84" s="54">
        <f t="shared" si="5"/>
        <v>262277.09190672153</v>
      </c>
      <c r="H84" s="53">
        <f t="shared" si="6"/>
        <v>26611.796982167347</v>
      </c>
      <c r="J84" s="53"/>
      <c r="K84" s="53"/>
      <c r="L84" s="53"/>
      <c r="Q84" s="53"/>
      <c r="R84" s="53"/>
      <c r="S84" s="53"/>
    </row>
    <row r="85" spans="5:19" x14ac:dyDescent="0.35">
      <c r="E85">
        <f t="shared" si="7"/>
        <v>8200</v>
      </c>
      <c r="F85" s="53">
        <f t="shared" si="4"/>
        <v>292455.41838134429</v>
      </c>
      <c r="G85" s="54">
        <f t="shared" si="5"/>
        <v>264060.35665294924</v>
      </c>
      <c r="H85" s="53">
        <f t="shared" si="6"/>
        <v>28395.061728395056</v>
      </c>
      <c r="J85" s="53"/>
      <c r="K85" s="53"/>
      <c r="L85" s="53"/>
      <c r="Q85" s="53"/>
      <c r="R85" s="53"/>
      <c r="S85" s="53"/>
    </row>
    <row r="86" spans="5:19" x14ac:dyDescent="0.35">
      <c r="E86">
        <f t="shared" si="7"/>
        <v>8300</v>
      </c>
      <c r="F86" s="53">
        <f t="shared" si="4"/>
        <v>296021.94787379971</v>
      </c>
      <c r="G86" s="54">
        <f t="shared" si="5"/>
        <v>265843.62139917695</v>
      </c>
      <c r="H86" s="53">
        <f t="shared" si="6"/>
        <v>30178.326474622765</v>
      </c>
      <c r="J86" s="53"/>
      <c r="K86" s="53"/>
      <c r="L86" s="53"/>
      <c r="Q86" s="53"/>
      <c r="R86" s="53"/>
      <c r="S86" s="53"/>
    </row>
    <row r="87" spans="5:19" x14ac:dyDescent="0.35">
      <c r="E87">
        <f t="shared" si="7"/>
        <v>8400</v>
      </c>
      <c r="F87" s="53">
        <f t="shared" si="4"/>
        <v>299588.47736625513</v>
      </c>
      <c r="G87" s="54">
        <f t="shared" si="5"/>
        <v>267626.88614540466</v>
      </c>
      <c r="H87" s="53">
        <f t="shared" si="6"/>
        <v>31961.591220850474</v>
      </c>
      <c r="J87" s="53"/>
      <c r="K87" s="53"/>
      <c r="L87" s="53"/>
      <c r="Q87" s="53"/>
      <c r="R87" s="53"/>
      <c r="S87" s="53"/>
    </row>
    <row r="88" spans="5:19" x14ac:dyDescent="0.35">
      <c r="E88">
        <f t="shared" si="7"/>
        <v>8500</v>
      </c>
      <c r="F88" s="53">
        <f t="shared" si="4"/>
        <v>303155.00685871055</v>
      </c>
      <c r="G88" s="54">
        <f t="shared" si="5"/>
        <v>269410.15089163237</v>
      </c>
      <c r="H88" s="53">
        <f t="shared" si="6"/>
        <v>33744.855967078183</v>
      </c>
      <c r="J88" s="53"/>
      <c r="K88" s="53"/>
      <c r="L88" s="53"/>
      <c r="Q88" s="53"/>
      <c r="R88" s="53"/>
      <c r="S88" s="53"/>
    </row>
    <row r="89" spans="5:19" x14ac:dyDescent="0.35">
      <c r="E89">
        <f t="shared" si="7"/>
        <v>8600</v>
      </c>
      <c r="F89" s="53">
        <f t="shared" si="4"/>
        <v>306721.53635116597</v>
      </c>
      <c r="G89" s="54">
        <f t="shared" si="5"/>
        <v>271193.41563786007</v>
      </c>
      <c r="H89" s="53">
        <f t="shared" si="6"/>
        <v>35528.120713305892</v>
      </c>
      <c r="J89" s="53"/>
      <c r="K89" s="53"/>
      <c r="L89" s="53"/>
      <c r="Q89" s="53"/>
      <c r="R89" s="53"/>
      <c r="S89" s="53"/>
    </row>
    <row r="90" spans="5:19" x14ac:dyDescent="0.35">
      <c r="E90">
        <f t="shared" si="7"/>
        <v>8700</v>
      </c>
      <c r="F90" s="53">
        <f t="shared" si="4"/>
        <v>310288.06584362139</v>
      </c>
      <c r="G90" s="54">
        <f t="shared" si="5"/>
        <v>272976.68038408778</v>
      </c>
      <c r="H90" s="53">
        <f t="shared" si="6"/>
        <v>37311.385459533602</v>
      </c>
      <c r="J90" s="53"/>
      <c r="K90" s="53"/>
      <c r="L90" s="53"/>
      <c r="Q90" s="53"/>
      <c r="R90" s="53"/>
      <c r="S90" s="53"/>
    </row>
    <row r="91" spans="5:19" x14ac:dyDescent="0.35">
      <c r="E91">
        <f t="shared" si="7"/>
        <v>8800</v>
      </c>
      <c r="F91" s="53">
        <f t="shared" si="4"/>
        <v>313854.5953360768</v>
      </c>
      <c r="G91" s="54">
        <f t="shared" si="5"/>
        <v>274759.94513031549</v>
      </c>
      <c r="H91" s="53">
        <f t="shared" si="6"/>
        <v>39094.650205761311</v>
      </c>
      <c r="J91" s="53"/>
      <c r="K91" s="53"/>
      <c r="L91" s="53"/>
      <c r="Q91" s="53"/>
      <c r="R91" s="53"/>
      <c r="S91" s="53"/>
    </row>
    <row r="92" spans="5:19" x14ac:dyDescent="0.35">
      <c r="E92">
        <f t="shared" si="7"/>
        <v>8900</v>
      </c>
      <c r="F92" s="53">
        <f t="shared" si="4"/>
        <v>317421.12482853222</v>
      </c>
      <c r="G92" s="54">
        <f t="shared" si="5"/>
        <v>276543.2098765432</v>
      </c>
      <c r="H92" s="53">
        <f t="shared" si="6"/>
        <v>40877.91495198902</v>
      </c>
      <c r="J92" s="53"/>
      <c r="K92" s="53"/>
      <c r="L92" s="53"/>
      <c r="Q92" s="53"/>
      <c r="R92" s="53"/>
      <c r="S92" s="53"/>
    </row>
    <row r="93" spans="5:19" x14ac:dyDescent="0.35">
      <c r="E93">
        <f t="shared" si="7"/>
        <v>9000</v>
      </c>
      <c r="F93" s="53">
        <f t="shared" si="4"/>
        <v>320987.65432098764</v>
      </c>
      <c r="G93" s="54">
        <f t="shared" si="5"/>
        <v>278326.47462277091</v>
      </c>
      <c r="H93" s="53">
        <f t="shared" si="6"/>
        <v>42661.179698216729</v>
      </c>
      <c r="J93" s="53"/>
      <c r="K93" s="53"/>
      <c r="L93" s="53"/>
      <c r="Q93" s="53"/>
      <c r="R93" s="53"/>
      <c r="S93" s="53"/>
    </row>
    <row r="94" spans="5:19" x14ac:dyDescent="0.35">
      <c r="E94">
        <f t="shared" si="7"/>
        <v>9100</v>
      </c>
      <c r="F94" s="53">
        <f t="shared" si="4"/>
        <v>324554.18381344306</v>
      </c>
      <c r="G94" s="54">
        <f t="shared" si="5"/>
        <v>280109.73936899862</v>
      </c>
      <c r="H94" s="53">
        <f t="shared" si="6"/>
        <v>44444.444444444438</v>
      </c>
      <c r="J94" s="53"/>
      <c r="K94" s="53"/>
      <c r="L94" s="53"/>
      <c r="Q94" s="53"/>
      <c r="R94" s="53"/>
      <c r="S94" s="53"/>
    </row>
    <row r="95" spans="5:19" x14ac:dyDescent="0.35">
      <c r="E95">
        <f t="shared" si="7"/>
        <v>9200</v>
      </c>
      <c r="F95" s="53">
        <f t="shared" si="4"/>
        <v>328120.71330589848</v>
      </c>
      <c r="G95" s="54">
        <f t="shared" si="5"/>
        <v>281893.00411522633</v>
      </c>
      <c r="H95" s="53">
        <f t="shared" si="6"/>
        <v>46227.709190672147</v>
      </c>
      <c r="J95" s="53"/>
      <c r="K95" s="53"/>
      <c r="L95" s="53"/>
      <c r="Q95" s="53"/>
      <c r="R95" s="53"/>
      <c r="S95" s="53"/>
    </row>
    <row r="96" spans="5:19" x14ac:dyDescent="0.35">
      <c r="E96">
        <f t="shared" si="7"/>
        <v>9300</v>
      </c>
      <c r="F96" s="53">
        <f t="shared" si="4"/>
        <v>331687.24279835389</v>
      </c>
      <c r="G96" s="54">
        <f t="shared" si="5"/>
        <v>283676.26886145404</v>
      </c>
      <c r="H96" s="53">
        <f t="shared" si="6"/>
        <v>48010.973936899856</v>
      </c>
      <c r="J96" s="53"/>
      <c r="K96" s="53"/>
      <c r="L96" s="53"/>
      <c r="Q96" s="53"/>
      <c r="R96" s="53"/>
      <c r="S96" s="53"/>
    </row>
    <row r="97" spans="5:19" x14ac:dyDescent="0.35">
      <c r="E97">
        <f t="shared" si="7"/>
        <v>9400</v>
      </c>
      <c r="F97" s="53">
        <f t="shared" si="4"/>
        <v>335253.77229080931</v>
      </c>
      <c r="G97" s="54">
        <f t="shared" si="5"/>
        <v>285459.53360768175</v>
      </c>
      <c r="H97" s="53">
        <f t="shared" si="6"/>
        <v>49794.238683127565</v>
      </c>
      <c r="J97" s="53"/>
      <c r="K97" s="53"/>
      <c r="L97" s="53"/>
      <c r="Q97" s="53"/>
      <c r="R97" s="53"/>
      <c r="S97" s="53"/>
    </row>
    <row r="98" spans="5:19" x14ac:dyDescent="0.35">
      <c r="E98">
        <f t="shared" si="7"/>
        <v>9500</v>
      </c>
      <c r="F98" s="53">
        <f t="shared" si="4"/>
        <v>338820.30178326473</v>
      </c>
      <c r="G98" s="54">
        <f t="shared" si="5"/>
        <v>287242.79835390946</v>
      </c>
      <c r="H98" s="53">
        <f t="shared" si="6"/>
        <v>51577.503429355274</v>
      </c>
      <c r="J98" s="53"/>
      <c r="K98" s="53"/>
      <c r="L98" s="53"/>
      <c r="Q98" s="53"/>
      <c r="R98" s="53"/>
      <c r="S98" s="53"/>
    </row>
    <row r="99" spans="5:19" x14ac:dyDescent="0.35">
      <c r="E99">
        <f t="shared" si="7"/>
        <v>9600</v>
      </c>
      <c r="F99" s="53">
        <f t="shared" si="4"/>
        <v>342386.83127572015</v>
      </c>
      <c r="G99" s="54">
        <f t="shared" si="5"/>
        <v>289026.06310013717</v>
      </c>
      <c r="H99" s="53">
        <f t="shared" si="6"/>
        <v>53360.768175582984</v>
      </c>
      <c r="J99" s="53"/>
      <c r="K99" s="53"/>
      <c r="L99" s="53"/>
      <c r="Q99" s="53"/>
      <c r="R99" s="53"/>
      <c r="S99" s="53"/>
    </row>
    <row r="100" spans="5:19" x14ac:dyDescent="0.35">
      <c r="E100">
        <f t="shared" si="7"/>
        <v>9700</v>
      </c>
      <c r="F100" s="53">
        <f t="shared" si="4"/>
        <v>345953.36076817557</v>
      </c>
      <c r="G100" s="54">
        <f t="shared" si="5"/>
        <v>290809.32784636487</v>
      </c>
      <c r="H100" s="53">
        <f t="shared" si="6"/>
        <v>55144.032921810693</v>
      </c>
      <c r="J100" s="53"/>
      <c r="K100" s="53"/>
      <c r="L100" s="53"/>
      <c r="Q100" s="53"/>
      <c r="R100" s="53"/>
      <c r="S100" s="53"/>
    </row>
    <row r="101" spans="5:19" x14ac:dyDescent="0.35">
      <c r="E101">
        <f t="shared" si="7"/>
        <v>9800</v>
      </c>
      <c r="F101" s="53">
        <f t="shared" si="4"/>
        <v>349519.89026063099</v>
      </c>
      <c r="G101" s="54">
        <f t="shared" si="5"/>
        <v>292592.59259259258</v>
      </c>
      <c r="H101" s="53">
        <f t="shared" si="6"/>
        <v>56927.297668038402</v>
      </c>
      <c r="J101" s="53"/>
      <c r="K101" s="53"/>
      <c r="L101" s="53"/>
      <c r="Q101" s="53"/>
      <c r="R101" s="53"/>
      <c r="S101" s="53"/>
    </row>
    <row r="102" spans="5:19" x14ac:dyDescent="0.35">
      <c r="E102">
        <f t="shared" si="7"/>
        <v>9900</v>
      </c>
      <c r="F102" s="53">
        <f t="shared" si="4"/>
        <v>353086.4197530864</v>
      </c>
      <c r="G102" s="54">
        <f t="shared" si="5"/>
        <v>294375.85733882029</v>
      </c>
      <c r="H102" s="53">
        <f t="shared" si="6"/>
        <v>58710.562414266111</v>
      </c>
      <c r="J102" s="53"/>
      <c r="K102" s="53"/>
      <c r="L102" s="53"/>
      <c r="Q102" s="53"/>
      <c r="R102" s="53"/>
      <c r="S102" s="53"/>
    </row>
    <row r="103" spans="5:19" x14ac:dyDescent="0.35">
      <c r="E103">
        <f t="shared" si="7"/>
        <v>10000</v>
      </c>
      <c r="F103" s="53">
        <f t="shared" si="4"/>
        <v>356652.94924554182</v>
      </c>
      <c r="G103" s="54">
        <f t="shared" si="5"/>
        <v>296159.122085048</v>
      </c>
      <c r="H103" s="53">
        <f t="shared" si="6"/>
        <v>60493.82716049382</v>
      </c>
      <c r="J103" s="53"/>
      <c r="K103" s="53"/>
      <c r="L103" s="53"/>
      <c r="Q103" s="53"/>
      <c r="R103" s="53"/>
      <c r="S103" s="5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BED3-2025-02-CASH Analyse</vt:lpstr>
      <vt:lpstr>BED3-2025-02-CASH Inflasjon</vt:lpstr>
      <vt:lpstr>BED3-2025-02-CASH Risiko</vt:lpstr>
      <vt:lpstr>F04_Break_even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Wattø Sjuve</dc:creator>
  <cp:lastModifiedBy>André Wattø Sjuve</cp:lastModifiedBy>
  <dcterms:created xsi:type="dcterms:W3CDTF">2024-12-14T09:34:17Z</dcterms:created>
  <dcterms:modified xsi:type="dcterms:W3CDTF">2025-12-14T15:31:11Z</dcterms:modified>
</cp:coreProperties>
</file>